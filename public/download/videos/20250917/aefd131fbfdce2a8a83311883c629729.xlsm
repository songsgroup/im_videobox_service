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8BC6082" Type="http://schemas.openxmlformats.org/officeDocument/2006/relationships/officeDocument" Target="xl/workbook.xml" /></Relationships>
</file>

<file path=xl/workbook.xml><?xml version="1.0" encoding="utf-8"?>
<workbook xmlns:r="http://schemas.openxmlformats.org/officeDocument/2006/relationships" xmlns="http://schemas.openxmlformats.org/spreadsheetml/2006/main">
  <workbookPr defaultThemeVersion="124226"/>
  <bookViews>
    <workbookView xWindow="-15" yWindow="6150" windowWidth="19440" windowHeight="6210" tabRatio="787" firstSheet="16"/>
  </bookViews>
  <sheets>
    <sheet name="公报探明表3" sheetId="3" r:id="rId1"/>
  </sheets>
  <definedNames>
    <definedName name="_xlnm.Print_Titles" localSheetId="0">公报探明表3!$1:$6</definedName>
  </definedNames>
  <calcPr/>
</workbook>
</file>

<file path=xl/sharedStrings.xml><?xml version="1.0" encoding="utf-8"?>
<sst xmlns="http://schemas.openxmlformats.org/spreadsheetml/2006/main">
  <si>
    <t>2013年度石油探明</t>
  </si>
  <si>
    <t>储量复(核)算表</t>
  </si>
  <si>
    <t>探明表3</t>
  </si>
  <si>
    <t xml:space="preserve">单  位
及
油气田</t>
  </si>
  <si>
    <t>区块</t>
  </si>
  <si>
    <t>复（核）算前</t>
  </si>
  <si>
    <t>复（核）算后</t>
  </si>
  <si>
    <t>增减值</t>
  </si>
  <si>
    <t>计算
时间</t>
  </si>
  <si>
    <t>开发
状态</t>
  </si>
  <si>
    <t>含油
面积</t>
  </si>
  <si>
    <t>地质储量</t>
  </si>
  <si>
    <t>技术可采储量</t>
  </si>
  <si>
    <t>经济可采储量</t>
  </si>
  <si>
    <t>含油
面积</t>
  </si>
  <si>
    <t>权益</t>
  </si>
  <si>
    <t>原油</t>
  </si>
  <si>
    <t>溶解气</t>
  </si>
  <si>
    <t>溶解气</t>
  </si>
  <si>
    <r>
      <t>km</t>
    </r>
    <r>
      <rPr>
        <rFont val="方正大黑简体"/>
        <charset val="134"/>
        <family val="4"/>
        <sz val="10"/>
        <vertAlign val="superscript"/>
        <scheme val="none"/>
      </rPr>
      <t>2</t>
    </r>
  </si>
  <si>
    <r>
      <t>10</t>
    </r>
    <r>
      <rPr>
        <rFont val="方正大黑简体"/>
        <charset val="134"/>
        <family val="4"/>
        <sz val="10"/>
        <vertAlign val="superscript"/>
        <scheme val="none"/>
      </rPr>
      <t>4</t>
    </r>
    <r>
      <rPr>
        <rFont val="方正大黑简体"/>
        <charset val="134"/>
        <family val="4"/>
        <sz val="10"/>
        <scheme val="none"/>
      </rPr>
      <t>m</t>
    </r>
    <r>
      <rPr>
        <rFont val="方正大黑简体"/>
        <charset val="134"/>
        <family val="4"/>
        <sz val="10"/>
        <vertAlign val="superscript"/>
        <scheme val="none"/>
      </rPr>
      <t>3</t>
    </r>
  </si>
  <si>
    <r>
      <t>10</t>
    </r>
    <r>
      <rPr>
        <rFont val="方正大黑简体"/>
        <charset val="134"/>
        <family val="4"/>
        <sz val="10"/>
        <vertAlign val="superscript"/>
        <scheme val="none"/>
      </rPr>
      <t>4</t>
    </r>
    <r>
      <rPr>
        <rFont val="方正大黑简体"/>
        <charset val="134"/>
        <family val="4"/>
        <sz val="10"/>
        <scheme val="none"/>
      </rPr>
      <t>t</t>
    </r>
  </si>
  <si>
    <r>
      <t>10</t>
    </r>
    <r>
      <rPr>
        <rFont val="方正大黑简体"/>
        <charset val="134"/>
        <family val="4"/>
        <sz val="10"/>
        <vertAlign val="superscript"/>
        <scheme val="none"/>
      </rPr>
      <t>8</t>
    </r>
    <r>
      <rPr>
        <rFont val="方正大黑简体"/>
        <charset val="134"/>
        <family val="4"/>
        <sz val="10"/>
        <scheme val="none"/>
      </rPr>
      <t>m</t>
    </r>
    <r>
      <rPr>
        <rFont val="方正大黑简体"/>
        <charset val="134"/>
        <family val="4"/>
        <sz val="10"/>
        <vertAlign val="superscript"/>
        <scheme val="none"/>
      </rPr>
      <t>3</t>
    </r>
  </si>
  <si>
    <t>中国石化</t>
  </si>
  <si>
    <t>总计</t>
  </si>
  <si>
    <t>已开发</t>
  </si>
  <si>
    <t>☆</t>
  </si>
  <si>
    <t>未开发</t>
  </si>
  <si>
    <t>○</t>
  </si>
  <si>
    <t>合计</t>
  </si>
  <si>
    <t>△</t>
  </si>
  <si>
    <t>胜利</t>
  </si>
  <si>
    <t>总计</t>
  </si>
  <si>
    <t>盐家</t>
  </si>
  <si>
    <t>盐16-斜9沙三8</t>
  </si>
  <si>
    <t>2007</t>
  </si>
  <si>
    <t>江苏</t>
  </si>
  <si>
    <t>真武</t>
  </si>
  <si>
    <t>真201</t>
  </si>
  <si>
    <t>邵伯</t>
  </si>
  <si>
    <t>邵8</t>
  </si>
  <si>
    <t>1990</t>
  </si>
</sst>
</file>

<file path=xl/styles.xml><?xml version="1.0" encoding="utf-8"?>
<styleSheet xmlns="http://schemas.openxmlformats.org/spreadsheetml/2006/main">
  <numFmts count="2">
    <numFmt numFmtId="166" formatCode="0.00_);[Red]\(0.00\)"/>
    <numFmt numFmtId="164" formatCode="0.00_ "/>
  </numFmts>
  <fonts count="15">
    <font>
      <sz val="9"/>
      <color theme="1"/>
      <name val="宋体"/>
      <family val="2"/>
      <charset val="134"/>
    </font>
    <font>
      <sz val="20"/>
      <name val="方正黑体_GBK"/>
      <family val="4"/>
      <charset val="134"/>
    </font>
    <font>
      <sz val="10"/>
      <name val="方正大黑简体"/>
      <family val="4"/>
      <charset val="134"/>
    </font>
    <font>
      <sz val="9"/>
      <name val="方正黑体_GBK"/>
      <family val="4"/>
      <charset val="134"/>
    </font>
    <font>
      <sz val="11"/>
      <name val="方正黑体_GBK"/>
      <family val="4"/>
      <charset val="134"/>
    </font>
    <font>
      <sz val="12"/>
      <name val="方正黑体_GBK"/>
      <family val="4"/>
      <charset val="134"/>
    </font>
    <font>
      <sz val="20"/>
      <name val="方正大黑简体"/>
      <family val="4"/>
      <charset val="134"/>
    </font>
    <font>
      <sz val="9"/>
      <name val="方正大黑简体"/>
      <family val="4"/>
      <charset val="134"/>
    </font>
    <font>
      <sz val="10"/>
      <name val="方正黑体_GBK"/>
      <family val="4"/>
      <charset val="134"/>
    </font>
    <font>
      <sz val="12"/>
      <name val="宋体"/>
      <family val="3"/>
      <charset val="134"/>
    </font>
    <font>
      <sz val="10"/>
      <name val="Arial"/>
    </font>
    <font>
      <sz val="9"/>
      <color theme="1"/>
      <name val="宋体"/>
      <family val="3"/>
      <charset val="134"/>
    </font>
    <font>
      <sz val="12"/>
      <name val="Times New Roman"/>
      <family val="1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9">
    <border/>
    <border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</border>
    <border>
      <left style="thin">
        <color indexed="0"/>
      </left>
    </border>
    <border>
      <right style="thin">
        <color indexed="0"/>
      </right>
    </border>
    <border>
      <left style="thin">
        <color indexed="64"/>
      </left>
      <right style="thin">
        <color indexed="64"/>
      </right>
    </border>
    <border>
      <left style="thin">
        <color indexed="64"/>
      </left>
      <right style="thin">
        <color indexed="64"/>
      </right>
      <bottom style="thin">
        <color indexed="64"/>
      </bottom>
    </border>
    <border>
      <left style="thin">
        <color indexed="64"/>
      </left>
      <right style="thin">
        <color indexed="64"/>
      </right>
      <bottom style="thin">
        <color rgb="FF000000"/>
      </bottom>
    </border>
  </borders>
  <cellStyleXfs count="19">
    <xf numFmtId="0" fontId="0" fillId="0" borderId="0">
      <alignment vertical="center"/>
    </xf>
    <xf numFmtId="0" fontId="9" fillId="0" borderId="0" applyBorder="0">
      <alignment horizontal="center" vertical="center"/>
    </xf>
    <xf numFmtId="0" fontId="9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12" fillId="0" borderId="0"/>
    <xf numFmtId="0" fontId="9" fillId="0" borderId="0"/>
    <xf numFmtId="0" fontId="13" fillId="2" borderId="0" applyNumberFormat="0" applyBorder="0" applyAlignment="0" applyProtection="0">
      <alignment vertical="center"/>
    </xf>
    <xf numFmtId="0" fontId="9" fillId="0" borderId="0" applyBorder="0">
      <alignment horizontal="center" vertical="center"/>
    </xf>
    <xf numFmtId="0" fontId="9" fillId="0" borderId="0">
      <alignment vertical="center"/>
    </xf>
    <xf numFmtId="0" fontId="9" fillId="0" borderId="0" applyBorder="0">
      <alignment horizontal="center" vertical="center"/>
    </xf>
    <xf numFmtId="0" fontId="9" fillId="0" borderId="0" applyBorder="0">
      <alignment horizontal="center" vertical="center"/>
    </xf>
    <xf numFmtId="0" fontId="0" fillId="0" borderId="0">
      <alignment vertical="center"/>
    </xf>
    <xf numFmtId="0" fontId="14" fillId="3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Alignment="1" applyProtection="1">
      <alignment horizontal="left" vertical="center" shrinkToFit="1"/>
    </xf>
    <xf numFmtId="0" fontId="2" fillId="0" borderId="0" xfId="1" applyFont="1" applyFill="1" applyAlignment="1" applyProtection="1">
      <alignment horizontal="center" vertical="center"/>
    </xf>
    <xf numFmtId="0" fontId="3" fillId="0" borderId="0" xfId="1" applyFont="1" applyFill="1" applyBorder="1" applyProtection="1">
      <alignment horizontal="center" vertical="center"/>
    </xf>
    <xf numFmtId="0" fontId="4" fillId="0" borderId="0" xfId="1" applyFont="1" applyFill="1" applyBorder="1" applyProtection="1">
      <alignment horizontal="center" vertical="center"/>
    </xf>
    <xf numFmtId="0" fontId="4" fillId="0" borderId="0" xfId="1" applyFont="1" applyFill="1" applyAlignment="1" applyProtection="1">
      <alignment horizontal="center" vertical="center" wrapText="1"/>
    </xf>
    <xf numFmtId="49" fontId="5" fillId="0" borderId="0" xfId="1" applyNumberFormat="1" applyFont="1" applyFill="1" applyAlignment="1">
      <alignment horizontal="center" vertical="center"/>
    </xf>
    <xf numFmtId="49" fontId="4" fillId="0" borderId="0" xfId="1" applyNumberFormat="1" applyFont="1" applyFill="1" applyAlignment="1" applyProtection="1">
      <alignment horizontal="center" vertical="center" wrapText="1"/>
    </xf>
    <xf numFmtId="49" fontId="4" fillId="0" borderId="0" xfId="1" applyNumberFormat="1" applyFont="1" applyFill="1" applyAlignment="1" applyProtection="1">
      <alignment horizontal="center" vertical="center"/>
    </xf>
    <xf numFmtId="166" fontId="4" fillId="0" borderId="0" xfId="1" applyNumberFormat="1" applyFont="1" applyFill="1" applyAlignment="1" applyProtection="1">
      <alignment horizontal="right" vertical="center" shrinkToFit="1"/>
    </xf>
    <xf numFmtId="166" fontId="4" fillId="0" borderId="0" xfId="1" applyNumberFormat="1" applyFont="1" applyFill="1" applyBorder="1" applyAlignment="1" applyProtection="1">
      <alignment horizontal="center" vertical="center" shrinkToFit="1"/>
    </xf>
    <xf numFmtId="166" fontId="4" fillId="0" borderId="0" xfId="1" applyNumberFormat="1" applyFont="1" applyFill="1" applyProtection="1">
      <alignment horizontal="center" vertical="center"/>
    </xf>
    <xf numFmtId="0" fontId="4" fillId="0" borderId="0" xfId="1" applyFont="1" applyFill="1" applyProtection="1">
      <alignment horizontal="center" vertical="center"/>
    </xf>
    <xf numFmtId="0" fontId="6" fillId="0" borderId="0" xfId="1" applyFont="1" applyFill="1" applyBorder="1" applyAlignment="1" applyProtection="1">
      <alignment horizontal="right" vertical="center" shrinkToFit="1"/>
    </xf>
    <xf numFmtId="166" fontId="6" fillId="0" borderId="0" xfId="1" applyNumberFormat="1" applyFont="1" applyFill="1" applyBorder="1" applyAlignment="1" applyProtection="1">
      <alignment vertical="center" shrinkToFit="1"/>
    </xf>
    <xf numFmtId="166" fontId="6" fillId="0" borderId="0" xfId="1" applyNumberFormat="1" applyFont="1" applyFill="1" applyBorder="1" applyAlignment="1" applyProtection="1">
      <alignment horizontal="left" vertical="center" shrinkToFit="1"/>
    </xf>
    <xf numFmtId="166" fontId="1" fillId="0" borderId="0" xfId="1" applyNumberFormat="1" applyFont="1" applyFill="1" applyBorder="1" applyAlignment="1" applyProtection="1">
      <alignment horizontal="center" vertical="center" shrinkToFit="1"/>
    </xf>
    <xf numFmtId="0" fontId="2" fillId="0" borderId="1" xfId="1" applyFont="1" applyFill="1" applyBorder="1" applyAlignment="1" applyProtection="1">
      <alignment horizontal="left" vertical="center" wrapText="1" shrinkToFit="1"/>
    </xf>
    <xf numFmtId="49" fontId="2" fillId="0" borderId="0" xfId="1" applyNumberFormat="1" applyFont="1" applyFill="1" applyAlignment="1" applyProtection="1">
      <alignment horizontal="center" vertical="center" wrapText="1"/>
    </xf>
    <xf numFmtId="49" fontId="2" fillId="0" borderId="0" xfId="1" applyNumberFormat="1" applyFont="1" applyFill="1" applyAlignment="1" applyProtection="1">
      <alignment horizontal="left" vertical="center"/>
    </xf>
    <xf numFmtId="166" fontId="2" fillId="0" borderId="0" xfId="1" applyNumberFormat="1" applyFont="1" applyFill="1" applyAlignment="1" applyProtection="1">
      <alignment horizontal="left" vertical="center" shrinkToFit="1"/>
    </xf>
    <xf numFmtId="166" fontId="2" fillId="0" borderId="0" xfId="1" applyNumberFormat="1" applyFont="1" applyFill="1" applyBorder="1" applyAlignment="1" applyProtection="1">
      <alignment horizontal="left" vertical="center" shrinkToFit="1"/>
    </xf>
    <xf numFmtId="166" fontId="2" fillId="0" borderId="0" xfId="1" applyNumberFormat="1" applyFont="1" applyFill="1" applyAlignment="1" applyProtection="1">
      <alignment horizontal="left" shrinkToFit="1"/>
    </xf>
    <xf numFmtId="166" fontId="2" fillId="0" borderId="0" xfId="1" applyNumberFormat="1" applyFont="1" applyFill="1" applyBorder="1" applyAlignment="1" applyProtection="1">
      <alignment horizontal="left" shrinkToFit="1"/>
    </xf>
    <xf numFmtId="0" fontId="2" fillId="0" borderId="2" xfId="1" applyNumberFormat="1" applyFont="1" applyFill="1" applyBorder="1" applyAlignment="1" applyProtection="1">
      <alignment horizontal="center" vertical="center" wrapText="1"/>
    </xf>
    <xf numFmtId="49" fontId="2" fillId="0" borderId="2" xfId="1" applyNumberFormat="1" applyFont="1" applyFill="1" applyBorder="1" applyAlignment="1" applyProtection="1">
      <alignment horizontal="center" vertical="center" wrapText="1"/>
    </xf>
    <xf numFmtId="0" fontId="2" fillId="0" borderId="2" xfId="1" applyFont="1" applyFill="1" applyBorder="1" applyAlignment="1" applyProtection="1">
      <alignment horizontal="center" vertical="center"/>
    </xf>
    <xf numFmtId="166" fontId="2" fillId="0" borderId="2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Alignment="1" applyProtection="1">
      <alignment horizontal="center" vertical="center"/>
    </xf>
    <xf numFmtId="0" fontId="2" fillId="0" borderId="2" xfId="1" applyNumberFormat="1" applyFont="1" applyFill="1" applyBorder="1" applyAlignment="1" applyProtection="1">
      <alignment horizontal="center" vertical="center"/>
    </xf>
    <xf numFmtId="166" fontId="7" fillId="0" borderId="2" xfId="1" applyNumberFormat="1" applyFont="1" applyFill="1" applyBorder="1" applyAlignment="1" applyProtection="1">
      <alignment horizontal="center" vertical="center" wrapText="1"/>
    </xf>
    <xf numFmtId="49" fontId="2" fillId="0" borderId="2" xfId="1" applyNumberFormat="1" applyFont="1" applyFill="1" applyBorder="1" applyAlignment="1" applyProtection="1">
      <alignment horizontal="center" vertical="center"/>
    </xf>
    <xf numFmtId="166" fontId="7" fillId="0" borderId="2" xfId="1" applyNumberFormat="1" applyFont="1" applyFill="1" applyBorder="1" applyAlignment="1" applyProtection="1">
      <alignment horizontal="center" vertical="center"/>
    </xf>
    <xf numFmtId="166" fontId="2" fillId="0" borderId="2" xfId="2" applyNumberFormat="1" applyFont="1" applyFill="1" applyBorder="1" applyAlignment="1">
      <alignment horizontal="center" vertical="center"/>
    </xf>
    <xf numFmtId="0" fontId="3" fillId="0" borderId="3" xfId="3" applyFont="1" applyFill="1" applyBorder="1" applyAlignment="1">
      <alignment horizontal="center" vertical="center" wrapText="1" shrinkToFit="1"/>
    </xf>
    <xf numFmtId="0" fontId="3" fillId="0" borderId="2" xfId="1" applyFont="1" applyFill="1" applyBorder="1" applyAlignment="1">
      <alignment horizontal="center" vertical="center" shrinkToFit="1"/>
    </xf>
    <xf numFmtId="49" fontId="3" fillId="0" borderId="2" xfId="3" applyNumberFormat="1" applyFont="1" applyFill="1" applyBorder="1" applyAlignment="1">
      <alignment horizontal="center" vertical="center" wrapText="1"/>
    </xf>
    <xf numFmtId="49" fontId="3" fillId="0" borderId="2" xfId="3" applyNumberFormat="1" applyFont="1" applyFill="1" applyBorder="1" applyAlignment="1">
      <alignment horizontal="center" vertical="center"/>
    </xf>
    <xf numFmtId="164" fontId="3" fillId="0" borderId="2" xfId="1" applyNumberFormat="1" applyFont="1" applyFill="1" applyBorder="1" applyAlignment="1">
      <alignment horizontal="right" vertical="center"/>
    </xf>
    <xf numFmtId="164" fontId="3" fillId="0" borderId="4" xfId="1" applyNumberFormat="1" applyFont="1" applyFill="1" applyBorder="1" applyAlignment="1" applyProtection="1">
      <alignment horizontal="center" vertical="center" shrinkToFit="1"/>
    </xf>
    <xf numFmtId="164" fontId="3" fillId="0" borderId="5" xfId="1" applyNumberFormat="1" applyFont="1" applyFill="1" applyBorder="1" applyAlignment="1" applyProtection="1">
      <alignment horizontal="center" vertical="center" shrinkToFit="1"/>
    </xf>
    <xf numFmtId="164" fontId="3" fillId="0" borderId="2" xfId="1" applyNumberFormat="1" applyFont="1" applyFill="1" applyBorder="1" applyAlignment="1" applyProtection="1">
      <alignment horizontal="right" vertical="center"/>
    </xf>
    <xf numFmtId="166" fontId="3" fillId="0" borderId="0" xfId="1" applyNumberFormat="1" applyFont="1" applyFill="1" applyAlignment="1" applyProtection="1">
      <alignment horizontal="center" vertical="center"/>
    </xf>
    <xf numFmtId="166" fontId="3" fillId="0" borderId="0" xfId="1" applyNumberFormat="1" applyFont="1" applyFill="1" applyBorder="1" applyAlignment="1" applyProtection="1">
      <alignment horizontal="center" vertical="center"/>
    </xf>
    <xf numFmtId="0" fontId="3" fillId="0" borderId="0" xfId="1" applyFont="1" applyFill="1" applyBorder="1" applyAlignment="1" applyProtection="1">
      <alignment horizontal="center" vertical="center"/>
    </xf>
    <xf numFmtId="0" fontId="3" fillId="0" borderId="6" xfId="3" applyFont="1" applyFill="1" applyBorder="1" applyAlignment="1">
      <alignment horizontal="center" vertical="center" wrapText="1" shrinkToFit="1"/>
    </xf>
    <xf numFmtId="0" fontId="3" fillId="0" borderId="7" xfId="3" applyFont="1" applyFill="1" applyBorder="1" applyAlignment="1">
      <alignment horizontal="center" vertical="center" wrapText="1" shrinkToFit="1"/>
    </xf>
    <xf numFmtId="49" fontId="3" fillId="0" borderId="2" xfId="4" applyNumberFormat="1" applyFont="1" applyFill="1" applyBorder="1" applyAlignment="1">
      <alignment horizontal="center" vertical="center"/>
    </xf>
    <xf numFmtId="0" fontId="3" fillId="0" borderId="2" xfId="1" applyFont="1" applyFill="1" applyBorder="1" applyAlignment="1" applyProtection="1">
      <alignment horizontal="center" vertical="center" shrinkToFit="1"/>
    </xf>
    <xf numFmtId="49" fontId="3" fillId="0" borderId="3" xfId="3" applyNumberFormat="1" applyFont="1" applyFill="1" applyBorder="1" applyAlignment="1">
      <alignment horizontal="center" vertical="center" wrapText="1"/>
    </xf>
    <xf numFmtId="49" fontId="3" fillId="0" borderId="6" xfId="3" applyNumberFormat="1" applyFont="1" applyFill="1" applyBorder="1" applyAlignment="1">
      <alignment horizontal="center" vertical="center" wrapText="1"/>
    </xf>
    <xf numFmtId="49" fontId="3" fillId="0" borderId="7" xfId="3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Alignment="1" applyProtection="1">
      <alignment horizontal="center" vertical="center"/>
    </xf>
    <xf numFmtId="49" fontId="3" fillId="0" borderId="6" xfId="3" quotePrefix="1" applyNumberFormat="1" applyFont="1" applyFill="1" applyBorder="1" applyAlignment="1">
      <alignment horizontal="center" vertical="center" wrapText="1"/>
    </xf>
    <xf numFmtId="49" fontId="3" fillId="0" borderId="7" xfId="3" quotePrefix="1" applyNumberFormat="1" applyFont="1" applyFill="1" applyBorder="1" applyAlignment="1">
      <alignment horizontal="center" vertical="center" wrapText="1"/>
    </xf>
    <xf numFmtId="166" fontId="4" fillId="0" borderId="0" xfId="1" applyNumberFormat="1" applyFont="1" applyFill="1" applyBorder="1" applyProtection="1">
      <alignment horizontal="center" vertical="center"/>
    </xf>
    <xf numFmtId="49" fontId="3" fillId="0" borderId="8" xfId="3" applyNumberFormat="1" applyFont="1" applyFill="1" applyBorder="1" applyAlignment="1">
      <alignment horizontal="center" vertical="center" wrapText="1"/>
    </xf>
  </cellXfs>
  <cellStyles count="19">
    <cellStyle name="Normal" xfId="0" builtinId="0"/>
    <cellStyle name="常规 2" xfId="1"/>
    <cellStyle name="常规_Sheet1" xfId="2"/>
    <cellStyle name="常规_股份公司－原油数据表－最终报告数据" xfId="3"/>
    <cellStyle name="常规_油1-04分公司－05净增分公司－合资合资分公司－分公司结果－已核对" xfId="4"/>
    <cellStyle name="常规_2-2010年度可采储量标定变化表（中石化）" xfId="5"/>
    <cellStyle name="样式 1" xfId="6"/>
    <cellStyle name="常规_公报Table02 2" xfId="7"/>
    <cellStyle name="常规 2 2" xfId="8"/>
    <cellStyle name="常规 6" xfId="9"/>
    <cellStyle name="常规_2000-便125-1" xfId="10"/>
    <cellStyle name="_2-2010年度可采储量标定变化表（中石化）" xfId="11"/>
    <cellStyle name="差_Sheet1" xfId="12"/>
    <cellStyle name="常规 2 2 2" xfId="13"/>
    <cellStyle name="常规 3" xfId="14"/>
    <cellStyle name="常规 4" xfId="15"/>
    <cellStyle name="常规 5" xfId="16"/>
    <cellStyle name="常规 7" xfId="17"/>
    <cellStyle name="好_Sheet1" xfId="18"/>
  </cellStyles>
  <dxfs count="0"/>
  <tableStyles count="0" defaultTableStyle="TableStyleMedium2"/>
  <colors>
    <mruColors>
      <color rgb="FFFF6600"/>
    </mru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/>
      </a:dk1>
      <a:lt1>
        <a:sysClr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</a:theme>
</file>

<file path=xl/worksheets/sheet1.xml><?xml version="1.0" encoding="utf-8"?>
<worksheet xmlns:r="http://schemas.openxmlformats.org/officeDocument/2006/relationships" xmlns="http://schemas.openxmlformats.org/spreadsheetml/2006/main">
  <sheetViews>
    <sheetView tabSelected="1" showGridLines="0" showZeros="0" zoomScaleNormal="100" zoomScaleSheetLayoutView="100" workbookViewId="0">
      <selection activeCell="U1" sqref="U1:AJ1"/>
    </sheetView>
  </sheetViews>
  <sheetFormatPr defaultColWidth="12.14" defaultRowHeight="14.45" customHeight="1"/>
  <cols>
    <col min="1" max="1" width="9.15" style="6" customWidth="1"/>
    <col min="2" max="2" width="6.59" style="7" customWidth="1"/>
    <col min="3" max="3" width="6.27" style="8" bestFit="1" customWidth="1"/>
    <col min="4" max="4" width="7.07" style="9" customWidth="1"/>
    <col min="5" max="5" width="5.95" style="10" bestFit="1" customWidth="1"/>
    <col min="6" max="8" width="10.11" style="10" customWidth="1"/>
    <col min="9" max="11" width="7.5" style="10" customWidth="1"/>
    <col min="12" max="12" width="7.07" style="10" bestFit="1" customWidth="1"/>
    <col min="13" max="13" width="6.91" style="10" bestFit="1" customWidth="1"/>
    <col min="14" max="14" width="7.07" style="10" customWidth="1"/>
    <col min="15" max="15" width="6.91" style="10" customWidth="1"/>
    <col min="16" max="17" width="7.23" style="10" customWidth="1"/>
    <col min="18" max="18" width="7.66" style="10" customWidth="1"/>
    <col min="19" max="20" width="2.59" style="11" customWidth="1"/>
    <col min="21" max="23" width="9.63" style="10" customWidth="1"/>
    <col min="24" max="26" width="9.63" style="12" customWidth="1"/>
    <col min="27" max="36" width="7.66" style="12" customWidth="1"/>
    <col min="37" max="37" width="7.07" style="12" hidden="1" customWidth="1"/>
    <col min="38" max="38" width="12.14" style="12" hidden="1" customWidth="1"/>
    <col min="39" max="39" style="13" hidden="1" customWidth="1"/>
    <col min="40" max="16384" width="12.14" style="13"/>
  </cols>
  <sheetData>
    <row r="1" s="1" customFormat="1" ht="26.1" customHeight="1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5"/>
      <c r="T1" s="15"/>
      <c r="U1" s="16" t="s">
        <v>1</v>
      </c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7"/>
      <c r="AL1" s="17"/>
    </row>
    <row r="2" s="2" customFormat="1" ht="15.95" customHeight="1">
      <c r="A2" s="18" t="s">
        <v>2</v>
      </c>
      <c r="B2" s="18"/>
      <c r="C2" s="19"/>
      <c r="D2" s="20"/>
      <c r="E2" s="21"/>
      <c r="F2" s="22"/>
      <c r="G2" s="22"/>
      <c r="H2" s="22"/>
      <c r="I2" s="22"/>
      <c r="J2" s="22"/>
      <c r="K2" s="22"/>
      <c r="L2" s="23"/>
      <c r="M2" s="23"/>
      <c r="N2" s="24"/>
      <c r="O2" s="21"/>
      <c r="P2" s="22"/>
      <c r="Q2" s="22"/>
      <c r="R2" s="22"/>
      <c r="S2" s="22"/>
      <c r="T2" s="22"/>
      <c r="U2" s="22"/>
      <c r="V2" s="22"/>
      <c r="W2" s="22"/>
      <c r="X2" s="23"/>
      <c r="Y2" s="23"/>
      <c r="Z2" s="23"/>
      <c r="AA2" s="21"/>
      <c r="AB2" s="22"/>
      <c r="AC2" s="22"/>
      <c r="AD2" s="22"/>
      <c r="AE2" s="22"/>
      <c r="AF2" s="22"/>
      <c r="AG2" s="22"/>
      <c r="AH2" s="23"/>
      <c r="AI2" s="23"/>
      <c r="AJ2" s="23"/>
      <c r="AK2" s="21"/>
      <c r="AL2" s="21"/>
    </row>
    <row r="3" s="3" customFormat="1" ht="15.95" customHeight="1">
      <c r="A3" s="25" t="s">
        <v>3</v>
      </c>
      <c r="B3" s="26" t="s">
        <v>4</v>
      </c>
      <c r="C3" s="27" t="s">
        <v>5</v>
      </c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 t="s">
        <v>6</v>
      </c>
      <c r="P3" s="28"/>
      <c r="Q3" s="28"/>
      <c r="R3" s="28"/>
      <c r="S3" s="29"/>
      <c r="T3" s="29"/>
      <c r="U3" s="28" t="s">
        <v>6</v>
      </c>
      <c r="V3" s="28"/>
      <c r="W3" s="28"/>
      <c r="X3" s="28"/>
      <c r="Y3" s="28"/>
      <c r="Z3" s="28"/>
      <c r="AA3" s="28" t="s">
        <v>7</v>
      </c>
      <c r="AB3" s="28"/>
      <c r="AC3" s="28"/>
      <c r="AD3" s="28"/>
      <c r="AE3" s="28"/>
      <c r="AF3" s="28"/>
      <c r="AG3" s="28"/>
      <c r="AH3" s="28"/>
      <c r="AI3" s="28"/>
      <c r="AJ3" s="28"/>
      <c r="AK3" s="30"/>
      <c r="AL3" s="30"/>
    </row>
    <row r="4" s="3" customFormat="1" ht="15.95" customHeight="1">
      <c r="A4" s="31"/>
      <c r="B4" s="26"/>
      <c r="C4" s="26" t="s">
        <v>8</v>
      </c>
      <c r="D4" s="26" t="s">
        <v>9</v>
      </c>
      <c r="E4" s="32" t="s">
        <v>10</v>
      </c>
      <c r="F4" s="28" t="s">
        <v>11</v>
      </c>
      <c r="G4" s="28"/>
      <c r="H4" s="28"/>
      <c r="I4" s="28" t="s">
        <v>12</v>
      </c>
      <c r="J4" s="28"/>
      <c r="K4" s="28"/>
      <c r="L4" s="28" t="s">
        <v>13</v>
      </c>
      <c r="M4" s="28"/>
      <c r="N4" s="28"/>
      <c r="O4" s="32" t="s">
        <v>10</v>
      </c>
      <c r="P4" s="28" t="s">
        <v>11</v>
      </c>
      <c r="Q4" s="28"/>
      <c r="R4" s="28"/>
      <c r="S4" s="29"/>
      <c r="T4" s="29"/>
      <c r="U4" s="28" t="s">
        <v>12</v>
      </c>
      <c r="V4" s="28"/>
      <c r="W4" s="28"/>
      <c r="X4" s="28" t="s">
        <v>13</v>
      </c>
      <c r="Y4" s="28"/>
      <c r="Z4" s="28"/>
      <c r="AA4" s="32" t="s">
        <v>14</v>
      </c>
      <c r="AB4" s="28" t="s">
        <v>11</v>
      </c>
      <c r="AC4" s="28"/>
      <c r="AD4" s="28"/>
      <c r="AE4" s="28" t="s">
        <v>12</v>
      </c>
      <c r="AF4" s="28"/>
      <c r="AG4" s="28"/>
      <c r="AH4" s="28" t="s">
        <v>13</v>
      </c>
      <c r="AI4" s="28"/>
      <c r="AJ4" s="28"/>
      <c r="AK4" s="30" t="s">
        <v>15</v>
      </c>
      <c r="AL4" s="30"/>
    </row>
    <row r="5" s="3" customFormat="1" ht="15.95" customHeight="1">
      <c r="A5" s="31"/>
      <c r="B5" s="26"/>
      <c r="C5" s="26"/>
      <c r="D5" s="33"/>
      <c r="E5" s="34"/>
      <c r="F5" s="28" t="s">
        <v>16</v>
      </c>
      <c r="G5" s="28"/>
      <c r="H5" s="28" t="s">
        <v>17</v>
      </c>
      <c r="I5" s="28" t="s">
        <v>16</v>
      </c>
      <c r="J5" s="28"/>
      <c r="K5" s="28" t="s">
        <v>17</v>
      </c>
      <c r="L5" s="28" t="s">
        <v>16</v>
      </c>
      <c r="M5" s="28"/>
      <c r="N5" s="28" t="s">
        <v>17</v>
      </c>
      <c r="O5" s="34"/>
      <c r="P5" s="28" t="s">
        <v>16</v>
      </c>
      <c r="Q5" s="28"/>
      <c r="R5" s="28" t="s">
        <v>18</v>
      </c>
      <c r="S5" s="29"/>
      <c r="T5" s="29"/>
      <c r="U5" s="28" t="s">
        <v>16</v>
      </c>
      <c r="V5" s="28"/>
      <c r="W5" s="28" t="s">
        <v>17</v>
      </c>
      <c r="X5" s="28" t="s">
        <v>16</v>
      </c>
      <c r="Y5" s="28"/>
      <c r="Z5" s="28" t="s">
        <v>17</v>
      </c>
      <c r="AA5" s="34"/>
      <c r="AB5" s="28" t="s">
        <v>16</v>
      </c>
      <c r="AC5" s="28"/>
      <c r="AD5" s="28" t="s">
        <v>17</v>
      </c>
      <c r="AE5" s="28" t="s">
        <v>16</v>
      </c>
      <c r="AF5" s="28"/>
      <c r="AG5" s="28" t="s">
        <v>17</v>
      </c>
      <c r="AH5" s="28" t="s">
        <v>16</v>
      </c>
      <c r="AI5" s="28"/>
      <c r="AJ5" s="28" t="s">
        <v>17</v>
      </c>
      <c r="AK5" s="30"/>
      <c r="AL5" s="30"/>
    </row>
    <row r="6" s="3" customFormat="1" ht="14.45" customHeight="1">
      <c r="A6" s="31"/>
      <c r="B6" s="26"/>
      <c r="C6" s="26"/>
      <c r="D6" s="33"/>
      <c r="E6" s="28" t="s">
        <v>19</v>
      </c>
      <c r="F6" s="35" t="s">
        <v>20</v>
      </c>
      <c r="G6" s="28" t="s">
        <v>21</v>
      </c>
      <c r="H6" s="28" t="s">
        <v>22</v>
      </c>
      <c r="I6" s="35" t="s">
        <v>20</v>
      </c>
      <c r="J6" s="28" t="s">
        <v>21</v>
      </c>
      <c r="K6" s="28" t="s">
        <v>22</v>
      </c>
      <c r="L6" s="35" t="s">
        <v>20</v>
      </c>
      <c r="M6" s="28" t="s">
        <v>21</v>
      </c>
      <c r="N6" s="28" t="s">
        <v>22</v>
      </c>
      <c r="O6" s="28" t="s">
        <v>19</v>
      </c>
      <c r="P6" s="35" t="s">
        <v>20</v>
      </c>
      <c r="Q6" s="28" t="s">
        <v>21</v>
      </c>
      <c r="R6" s="28" t="s">
        <v>22</v>
      </c>
      <c r="S6" s="29"/>
      <c r="T6" s="29"/>
      <c r="U6" s="35" t="s">
        <v>20</v>
      </c>
      <c r="V6" s="28" t="s">
        <v>21</v>
      </c>
      <c r="W6" s="28" t="s">
        <v>22</v>
      </c>
      <c r="X6" s="35" t="s">
        <v>20</v>
      </c>
      <c r="Y6" s="28" t="s">
        <v>21</v>
      </c>
      <c r="Z6" s="28" t="s">
        <v>22</v>
      </c>
      <c r="AA6" s="28" t="s">
        <v>19</v>
      </c>
      <c r="AB6" s="35" t="s">
        <v>20</v>
      </c>
      <c r="AC6" s="28" t="s">
        <v>21</v>
      </c>
      <c r="AD6" s="28" t="s">
        <v>22</v>
      </c>
      <c r="AE6" s="35" t="s">
        <v>20</v>
      </c>
      <c r="AF6" s="28" t="s">
        <v>21</v>
      </c>
      <c r="AG6" s="28" t="s">
        <v>22</v>
      </c>
      <c r="AH6" s="35" t="s">
        <v>20</v>
      </c>
      <c r="AI6" s="28" t="s">
        <v>21</v>
      </c>
      <c r="AJ6" s="28" t="s">
        <v>22</v>
      </c>
      <c r="AK6" s="30"/>
      <c r="AL6" s="30"/>
    </row>
    <row r="7" s="4" customFormat="1" ht="14.45" customHeight="1">
      <c r="A7" s="36" t="s">
        <v>23</v>
      </c>
      <c r="B7" s="37" t="s">
        <v>24</v>
      </c>
      <c r="C7" s="38"/>
      <c r="D7" s="39" t="s">
        <v>25</v>
      </c>
      <c r="E7" s="40">
        <v>0</v>
      </c>
      <c r="F7" s="40">
        <f t="shared" ref="F7:N8" si="0">SUMPRODUCT(($D$10:$D$975=$D7)*F$10:F$975*($AK$10:$AK$975&lt;&gt;""))</f>
        <v>3.1899999999999999</v>
      </c>
      <c r="G7" s="40">
        <f t="shared" si="0"/>
        <v>2.6699999999999999</v>
      </c>
      <c r="H7" s="40">
        <f t="shared" si="0"/>
        <v>0</v>
      </c>
      <c r="I7" s="40">
        <f t="shared" si="0"/>
        <v>0.28000000000000003</v>
      </c>
      <c r="J7" s="40">
        <f t="shared" si="0"/>
        <v>0.23999999999999999</v>
      </c>
      <c r="K7" s="40">
        <f t="shared" si="0"/>
        <v>0</v>
      </c>
      <c r="L7" s="40">
        <f t="shared" si="0"/>
        <v>0.27000000000000002</v>
      </c>
      <c r="M7" s="40">
        <f t="shared" si="0"/>
        <v>0.23999999999999999</v>
      </c>
      <c r="N7" s="40">
        <f t="shared" si="0"/>
        <v>0</v>
      </c>
      <c r="O7" s="40"/>
      <c r="P7" s="40">
        <f t="shared" ref="P7:R8" si="1">SUMPRODUCT(($D$10:$D$975=$D7)*P$10:P$975*($AK$10:$AK$975&lt;&gt;""))</f>
        <v>2.9500000000000002</v>
      </c>
      <c r="Q7" s="40">
        <f t="shared" si="1"/>
        <v>2.5</v>
      </c>
      <c r="R7" s="40">
        <f t="shared" si="1"/>
        <v>0</v>
      </c>
      <c r="S7" s="41" t="s">
        <v>26</v>
      </c>
      <c r="T7" s="42" t="s">
        <v>26</v>
      </c>
      <c r="U7" s="40">
        <f t="shared" ref="U7:Z8" si="2">SUMPRODUCT(($D$10:$D$975=$D7)*U$10:U$975*($AK$10:$AK$975&lt;&gt;""))</f>
        <v>2.0300000000000002</v>
      </c>
      <c r="V7" s="40">
        <f t="shared" si="2"/>
        <v>1.75</v>
      </c>
      <c r="W7" s="40">
        <f t="shared" si="2"/>
        <v>0.0073000000000000001</v>
      </c>
      <c r="X7" s="40">
        <f t="shared" si="2"/>
        <v>1.95</v>
      </c>
      <c r="Y7" s="40">
        <f t="shared" si="2"/>
        <v>1.6800000000000002</v>
      </c>
      <c r="Z7" s="40">
        <f t="shared" si="2"/>
        <v>0.0073000000000000001</v>
      </c>
      <c r="AA7" s="40">
        <v>0.119</v>
      </c>
      <c r="AB7" s="43">
        <f>P7-F7</f>
        <v>-0.23999999999999977</v>
      </c>
      <c r="AC7" s="43">
        <f t="shared" ref="AC7:AC15" si="3">Q7-G7</f>
        <v>-0.16999999999999993</v>
      </c>
      <c r="AD7" s="43">
        <f t="shared" ref="AD7:AD15" si="4">R7-H7</f>
        <v>0</v>
      </c>
      <c r="AE7" s="43">
        <f t="shared" ref="AE7:AE15" si="5">U7-I7</f>
        <v>1.7500000000000002</v>
      </c>
      <c r="AF7" s="43">
        <f t="shared" ref="AF7:AF15" si="6">V7-J7</f>
        <v>1.51</v>
      </c>
      <c r="AG7" s="43">
        <f t="shared" ref="AG7:AG15" si="7">W7-K7</f>
        <v>0.0073000000000000001</v>
      </c>
      <c r="AH7" s="43">
        <f t="shared" ref="AH7:AH15" si="8">X7-L7</f>
        <v>1.6799999999999999</v>
      </c>
      <c r="AI7" s="43">
        <f t="shared" ref="AI7:AI15" si="9">Y7-M7</f>
        <v>1.4400000000000002</v>
      </c>
      <c r="AJ7" s="43">
        <f t="shared" ref="AJ7:AJ15" si="10">Z7-N7</f>
        <v>0.0073000000000000001</v>
      </c>
      <c r="AK7" s="44"/>
      <c r="AL7" s="45"/>
      <c r="AM7" s="46"/>
    </row>
    <row r="8" s="4" customFormat="1" ht="14.45" customHeight="1">
      <c r="A8" s="47"/>
      <c r="B8" s="37"/>
      <c r="C8" s="38"/>
      <c r="D8" s="39" t="s">
        <v>27</v>
      </c>
      <c r="E8" s="40">
        <v>0</v>
      </c>
      <c r="F8" s="40">
        <f t="shared" si="0"/>
        <v>0</v>
      </c>
      <c r="G8" s="40">
        <f t="shared" si="0"/>
        <v>0</v>
      </c>
      <c r="H8" s="40">
        <f t="shared" si="0"/>
        <v>0</v>
      </c>
      <c r="I8" s="40">
        <f t="shared" si="0"/>
        <v>0</v>
      </c>
      <c r="J8" s="40">
        <f t="shared" si="0"/>
        <v>0</v>
      </c>
      <c r="K8" s="40">
        <f t="shared" si="0"/>
        <v>0</v>
      </c>
      <c r="L8" s="40">
        <f t="shared" si="0"/>
        <v>0</v>
      </c>
      <c r="M8" s="40">
        <f t="shared" si="0"/>
        <v>0</v>
      </c>
      <c r="N8" s="40">
        <f t="shared" si="0"/>
        <v>0</v>
      </c>
      <c r="O8" s="40"/>
      <c r="P8" s="40">
        <f t="shared" si="1"/>
        <v>0</v>
      </c>
      <c r="Q8" s="40">
        <f t="shared" si="1"/>
        <v>0</v>
      </c>
      <c r="R8" s="40">
        <f t="shared" si="1"/>
        <v>0</v>
      </c>
      <c r="S8" s="41" t="s">
        <v>28</v>
      </c>
      <c r="T8" s="42" t="s">
        <v>28</v>
      </c>
      <c r="U8" s="40">
        <f t="shared" si="2"/>
        <v>0</v>
      </c>
      <c r="V8" s="40">
        <f t="shared" si="2"/>
        <v>0</v>
      </c>
      <c r="W8" s="40">
        <f t="shared" si="2"/>
        <v>0</v>
      </c>
      <c r="X8" s="40">
        <f t="shared" si="2"/>
        <v>0</v>
      </c>
      <c r="Y8" s="40">
        <f t="shared" si="2"/>
        <v>0</v>
      </c>
      <c r="Z8" s="40">
        <f t="shared" si="2"/>
        <v>0</v>
      </c>
      <c r="AA8" s="40">
        <v>0</v>
      </c>
      <c r="AB8" s="43">
        <f t="shared" ref="AB8:AB15" si="11">P8-F8</f>
        <v>0</v>
      </c>
      <c r="AC8" s="43">
        <f t="shared" si="3"/>
        <v>0</v>
      </c>
      <c r="AD8" s="43">
        <f t="shared" si="4"/>
        <v>0</v>
      </c>
      <c r="AE8" s="43">
        <f t="shared" si="5"/>
        <v>0</v>
      </c>
      <c r="AF8" s="43">
        <f t="shared" si="6"/>
        <v>0</v>
      </c>
      <c r="AG8" s="43">
        <f t="shared" si="7"/>
        <v>0</v>
      </c>
      <c r="AH8" s="43">
        <f t="shared" si="8"/>
        <v>0</v>
      </c>
      <c r="AI8" s="43">
        <f t="shared" si="9"/>
        <v>0</v>
      </c>
      <c r="AJ8" s="43">
        <f t="shared" si="10"/>
        <v>0</v>
      </c>
      <c r="AK8" s="44"/>
      <c r="AL8" s="45"/>
      <c r="AM8" s="46"/>
    </row>
    <row r="9" s="4" customFormat="1" ht="14.45" customHeight="1">
      <c r="A9" s="48"/>
      <c r="B9" s="37"/>
      <c r="C9" s="38"/>
      <c r="D9" s="49" t="s">
        <v>29</v>
      </c>
      <c r="E9" s="40">
        <v>0.26800000000000002</v>
      </c>
      <c r="F9" s="40">
        <f t="shared" ref="F9:N9" si="12">SUM(F7:F8)</f>
        <v>3.1899999999999999</v>
      </c>
      <c r="G9" s="40">
        <f t="shared" si="12"/>
        <v>2.6699999999999999</v>
      </c>
      <c r="H9" s="40">
        <f t="shared" si="12"/>
        <v>0</v>
      </c>
      <c r="I9" s="40">
        <f t="shared" si="12"/>
        <v>0.28000000000000003</v>
      </c>
      <c r="J9" s="40">
        <f t="shared" si="12"/>
        <v>0.23999999999999999</v>
      </c>
      <c r="K9" s="40">
        <f t="shared" si="12"/>
        <v>0</v>
      </c>
      <c r="L9" s="40">
        <f t="shared" si="12"/>
        <v>0.27000000000000002</v>
      </c>
      <c r="M9" s="40">
        <f t="shared" si="12"/>
        <v>0.23999999999999999</v>
      </c>
      <c r="N9" s="40">
        <f t="shared" si="12"/>
        <v>0</v>
      </c>
      <c r="O9" s="40">
        <v>0.38700000000000001</v>
      </c>
      <c r="P9" s="40">
        <f t="shared" ref="P9:Z9" si="13">SUM(P7:P8)</f>
        <v>2.9500000000000002</v>
      </c>
      <c r="Q9" s="40">
        <f t="shared" si="13"/>
        <v>2.5</v>
      </c>
      <c r="R9" s="40">
        <f t="shared" si="13"/>
        <v>0</v>
      </c>
      <c r="S9" s="41" t="s">
        <v>30</v>
      </c>
      <c r="T9" s="42" t="s">
        <v>30</v>
      </c>
      <c r="U9" s="40">
        <f t="shared" si="13"/>
        <v>2.0300000000000002</v>
      </c>
      <c r="V9" s="40">
        <f t="shared" si="13"/>
        <v>1.75</v>
      </c>
      <c r="W9" s="40">
        <f t="shared" si="13"/>
        <v>0.0073000000000000001</v>
      </c>
      <c r="X9" s="40">
        <f t="shared" si="13"/>
        <v>1.95</v>
      </c>
      <c r="Y9" s="40">
        <f t="shared" si="13"/>
        <v>1.6800000000000002</v>
      </c>
      <c r="Z9" s="40">
        <f t="shared" si="13"/>
        <v>0.0073000000000000001</v>
      </c>
      <c r="AA9" s="40">
        <v>0.119</v>
      </c>
      <c r="AB9" s="43">
        <f t="shared" si="11"/>
        <v>-0.23999999999999977</v>
      </c>
      <c r="AC9" s="43">
        <f t="shared" si="3"/>
        <v>-0.16999999999999993</v>
      </c>
      <c r="AD9" s="43">
        <f t="shared" si="4"/>
        <v>0</v>
      </c>
      <c r="AE9" s="43">
        <f t="shared" si="5"/>
        <v>1.7500000000000002</v>
      </c>
      <c r="AF9" s="43">
        <f t="shared" si="6"/>
        <v>1.51</v>
      </c>
      <c r="AG9" s="43">
        <f t="shared" si="7"/>
        <v>0.0073000000000000001</v>
      </c>
      <c r="AH9" s="43">
        <f t="shared" si="8"/>
        <v>1.6799999999999999</v>
      </c>
      <c r="AI9" s="43">
        <f t="shared" si="9"/>
        <v>1.4400000000000002</v>
      </c>
      <c r="AJ9" s="43">
        <f t="shared" si="10"/>
        <v>0.0073000000000000001</v>
      </c>
      <c r="AK9" s="44"/>
      <c r="AL9" s="45"/>
      <c r="AM9" s="46"/>
    </row>
    <row r="10" s="4" customFormat="1" ht="14.45" customHeight="1">
      <c r="A10" s="38" t="s">
        <v>31</v>
      </c>
      <c r="B10" s="50" t="s">
        <v>32</v>
      </c>
      <c r="C10" s="51"/>
      <c r="D10" s="39" t="s">
        <v>25</v>
      </c>
      <c r="E10" s="40"/>
      <c r="F10" s="43">
        <f>SUMPRODUCT(($D$13:$D$15="已开发")*F13:F15*($AK$13:$AK$15&lt;&gt;""))</f>
        <v>1.1000000000000001</v>
      </c>
      <c r="G10" s="43">
        <f>SUMPRODUCT(($D$13:$D$15="已开发")*G13:G15*($AK$13:$AK$15&lt;&gt;""))</f>
        <v>0.94999999999999996</v>
      </c>
      <c r="H10" s="43">
        <f>SUMPRODUCT(($D$13:$D$15="已开发")*H13:H15*($AK$13:$AK$15&lt;&gt;""))</f>
        <v>0</v>
      </c>
      <c r="I10" s="43">
        <f>SUMPRODUCT(($D$13:$D$15="已开发")*I13:I15*($AK$13:$AK$15&lt;&gt;""))</f>
        <v>0.22</v>
      </c>
      <c r="J10" s="43">
        <f>SUMPRODUCT(($D$13:$D$15="已开发")*J13:J15*($AK$13:$AK$15&lt;&gt;""))</f>
        <v>0.19</v>
      </c>
      <c r="K10" s="43">
        <f>SUMPRODUCT(($D$13:$D$15="已开发")*K13:K15*($AK$13:$AK$15&lt;&gt;""))</f>
        <v>0</v>
      </c>
      <c r="L10" s="43">
        <f>SUMPRODUCT(($D$13:$D$15="已开发")*L13:L15*($AK$13:$AK$15&lt;&gt;""))</f>
        <v>0.20999999999999999</v>
      </c>
      <c r="M10" s="43">
        <f>SUMPRODUCT(($D$13:$D$15="已开发")*M13:M15*($AK$13:$AK$15&lt;&gt;""))</f>
        <v>0.19</v>
      </c>
      <c r="N10" s="43">
        <f>SUMPRODUCT(($D$13:$D$15="已开发")*N13:N15*($AK$13:$AK$15&lt;&gt;""))</f>
        <v>0</v>
      </c>
      <c r="O10" s="43"/>
      <c r="P10" s="43">
        <f>SUMPRODUCT(($D$13:$D$15="已开发")*P13:P15*($AK$13:$AK$15&lt;&gt;""))</f>
        <v>0</v>
      </c>
      <c r="Q10" s="43">
        <f>SUMPRODUCT(($D$13:$D$15="已开发")*Q13:Q15*($AK$13:$AK$15&lt;&gt;""))</f>
        <v>0</v>
      </c>
      <c r="R10" s="43">
        <f>SUMPRODUCT(($D$13:$D$15="已开发")*R13:R15*($AK$13:$AK$15&lt;&gt;""))</f>
        <v>0</v>
      </c>
      <c r="S10" s="41" t="s">
        <v>26</v>
      </c>
      <c r="T10" s="42" t="s">
        <v>26</v>
      </c>
      <c r="U10" s="43">
        <f>SUMPRODUCT(($D$13:$D$15="已开发")*U13:U15*($AK$13:$AK$15&lt;&gt;""))</f>
        <v>1.6000000000000001</v>
      </c>
      <c r="V10" s="43">
        <f>SUMPRODUCT(($D$13:$D$15="已开发")*V13:V15*($AK$13:$AK$15&lt;&gt;""))</f>
        <v>1.3899999999999999</v>
      </c>
      <c r="W10" s="43">
        <f>SUMPRODUCT(($D$13:$D$15="已开发")*W13:W15*($AK$13:$AK$15&lt;&gt;""))</f>
        <v>0.0073000000000000001</v>
      </c>
      <c r="X10" s="43">
        <f>SUMPRODUCT(($D$13:$D$15="已开发")*X13:X15*($AK$13:$AK$15&lt;&gt;""))</f>
        <v>1.53</v>
      </c>
      <c r="Y10" s="43">
        <f>SUMPRODUCT(($D$13:$D$15="已开发")*Y13:Y15*($AK$13:$AK$15&lt;&gt;""))</f>
        <v>1.3300000000000001</v>
      </c>
      <c r="Z10" s="43">
        <f>SUMPRODUCT(($D$13:$D$15="已开发")*Z13:Z15*($AK$13:$AK$15&lt;&gt;""))</f>
        <v>0.0073000000000000001</v>
      </c>
      <c r="AA10" s="43">
        <v>0.040000000000000001</v>
      </c>
      <c r="AB10" s="43">
        <f t="shared" si="11"/>
        <v>-1.1000000000000001</v>
      </c>
      <c r="AC10" s="43">
        <f t="shared" si="3"/>
        <v>-0.94999999999999996</v>
      </c>
      <c r="AD10" s="43">
        <f t="shared" si="4"/>
        <v>0</v>
      </c>
      <c r="AE10" s="43">
        <f t="shared" si="5"/>
        <v>1.3800000000000001</v>
      </c>
      <c r="AF10" s="43">
        <f t="shared" si="6"/>
        <v>1.2</v>
      </c>
      <c r="AG10" s="43">
        <f t="shared" si="7"/>
        <v>0.0073000000000000001</v>
      </c>
      <c r="AH10" s="43">
        <f t="shared" si="8"/>
        <v>1.3200000000000001</v>
      </c>
      <c r="AI10" s="43">
        <f t="shared" si="9"/>
        <v>1.1400000000000001</v>
      </c>
      <c r="AJ10" s="43">
        <f t="shared" si="10"/>
        <v>0.0073000000000000001</v>
      </c>
      <c r="AK10" s="44"/>
      <c r="AL10" s="45"/>
      <c r="AM10" s="46"/>
    </row>
    <row r="11" s="4" customFormat="1" ht="14.45" customHeight="1">
      <c r="A11" s="38"/>
      <c r="B11" s="50"/>
      <c r="C11" s="52"/>
      <c r="D11" s="39" t="s">
        <v>27</v>
      </c>
      <c r="E11" s="40"/>
      <c r="F11" s="43">
        <f>SUMPRODUCT(($D$13:$D$15="未开发")*F13:F15*($AK$13:$AK$15&lt;&gt;""))</f>
        <v>0</v>
      </c>
      <c r="G11" s="43">
        <f>SUMPRODUCT(($D$13:$D$15="未开发")*G13:G15*($AK$13:$AK$15&lt;&gt;""))</f>
        <v>0</v>
      </c>
      <c r="H11" s="43">
        <f>SUMPRODUCT(($D$13:$D$15="未开发")*H13:H15*($AK$13:$AK$15&lt;&gt;""))</f>
        <v>0</v>
      </c>
      <c r="I11" s="43">
        <f>SUMPRODUCT(($D$13:$D$15="未开发")*I13:I15*($AK$13:$AK$15&lt;&gt;""))</f>
        <v>0</v>
      </c>
      <c r="J11" s="43">
        <f>SUMPRODUCT(($D$13:$D$15="未开发")*J13:J15*($AK$13:$AK$15&lt;&gt;""))</f>
        <v>0</v>
      </c>
      <c r="K11" s="43">
        <f>SUMPRODUCT(($D$13:$D$15="未开发")*K13:K15*($AK$13:$AK$15&lt;&gt;""))</f>
        <v>0</v>
      </c>
      <c r="L11" s="43">
        <f>SUMPRODUCT(($D$13:$D$15="未开发")*L13:L15*($AK$13:$AK$15&lt;&gt;""))</f>
        <v>0</v>
      </c>
      <c r="M11" s="43">
        <f>SUMPRODUCT(($D$13:$D$15="未开发")*M13:M15*($AK$13:$AK$15&lt;&gt;""))</f>
        <v>0</v>
      </c>
      <c r="N11" s="43">
        <f>SUMPRODUCT(($D$13:$D$15="未开发")*N13:N15*($AK$13:$AK$15&lt;&gt;""))</f>
        <v>0</v>
      </c>
      <c r="O11" s="43"/>
      <c r="P11" s="43">
        <f>SUMPRODUCT(($D$13:$D$15="未开发")*P13:P15*($AK$13:$AK$15&lt;&gt;""))</f>
        <v>0</v>
      </c>
      <c r="Q11" s="43">
        <f>SUMPRODUCT(($D$13:$D$15="未开发")*Q13:Q15*($AK$13:$AK$15&lt;&gt;""))</f>
        <v>0</v>
      </c>
      <c r="R11" s="43">
        <f>SUMPRODUCT(($D$13:$D$15="未开发")*R13:R15*($AK$13:$AK$15&lt;&gt;""))</f>
        <v>0</v>
      </c>
      <c r="S11" s="41" t="s">
        <v>28</v>
      </c>
      <c r="T11" s="42" t="s">
        <v>28</v>
      </c>
      <c r="U11" s="43">
        <f>SUMPRODUCT(($D$13:$D$15="未开发")*U13:U15*($AK$13:$AK$15&lt;&gt;""))</f>
        <v>0</v>
      </c>
      <c r="V11" s="43">
        <f>SUMPRODUCT(($D$13:$D$15="未开发")*V13:V15*($AK$13:$AK$15&lt;&gt;""))</f>
        <v>0</v>
      </c>
      <c r="W11" s="43">
        <f>SUMPRODUCT(($D$13:$D$15="未开发")*W13:W15*($AK$13:$AK$15&lt;&gt;""))</f>
        <v>0</v>
      </c>
      <c r="X11" s="43">
        <f>SUMPRODUCT(($D$13:$D$15="未开发")*X13:X15*($AK$13:$AK$15&lt;&gt;""))</f>
        <v>0</v>
      </c>
      <c r="Y11" s="43">
        <f>SUMPRODUCT(($D$13:$D$15="未开发")*Y13:Y15*($AK$13:$AK$15&lt;&gt;""))</f>
        <v>0</v>
      </c>
      <c r="Z11" s="43">
        <f>SUMPRODUCT(($D$13:$D$15="未开发")*Z13:Z15*($AK$13:$AK$15&lt;&gt;""))</f>
        <v>0</v>
      </c>
      <c r="AA11" s="43">
        <v>0</v>
      </c>
      <c r="AB11" s="43">
        <f t="shared" si="11"/>
        <v>0</v>
      </c>
      <c r="AC11" s="43">
        <f t="shared" si="3"/>
        <v>0</v>
      </c>
      <c r="AD11" s="43">
        <f t="shared" si="4"/>
        <v>0</v>
      </c>
      <c r="AE11" s="43">
        <f t="shared" si="5"/>
        <v>0</v>
      </c>
      <c r="AF11" s="43">
        <f t="shared" si="6"/>
        <v>0</v>
      </c>
      <c r="AG11" s="43">
        <f t="shared" si="7"/>
        <v>0</v>
      </c>
      <c r="AH11" s="43">
        <f t="shared" si="8"/>
        <v>0</v>
      </c>
      <c r="AI11" s="43">
        <f t="shared" si="9"/>
        <v>0</v>
      </c>
      <c r="AJ11" s="43">
        <f t="shared" si="10"/>
        <v>0</v>
      </c>
      <c r="AK11" s="44"/>
      <c r="AL11" s="45"/>
      <c r="AM11" s="46"/>
    </row>
    <row r="12" s="4" customFormat="1" ht="14.45" customHeight="1">
      <c r="A12" s="38"/>
      <c r="B12" s="50"/>
      <c r="C12" s="53"/>
      <c r="D12" s="49" t="s">
        <v>29</v>
      </c>
      <c r="E12" s="40">
        <v>0.048000000000000001</v>
      </c>
      <c r="F12" s="40">
        <f t="shared" ref="F12:N12" si="14">SUM(F10:F11)</f>
        <v>1.1000000000000001</v>
      </c>
      <c r="G12" s="40">
        <f t="shared" si="14"/>
        <v>0.94999999999999996</v>
      </c>
      <c r="H12" s="40">
        <f t="shared" si="14"/>
        <v>0</v>
      </c>
      <c r="I12" s="40">
        <f t="shared" si="14"/>
        <v>0.22</v>
      </c>
      <c r="J12" s="40">
        <f t="shared" si="14"/>
        <v>0.19</v>
      </c>
      <c r="K12" s="40">
        <f t="shared" si="14"/>
        <v>0</v>
      </c>
      <c r="L12" s="40">
        <f t="shared" si="14"/>
        <v>0.20999999999999999</v>
      </c>
      <c r="M12" s="40">
        <f t="shared" si="14"/>
        <v>0.19</v>
      </c>
      <c r="N12" s="40">
        <f t="shared" si="14"/>
        <v>0</v>
      </c>
      <c r="O12" s="40">
        <v>0.087999999999999995</v>
      </c>
      <c r="P12" s="40">
        <f t="shared" ref="P12:Z12" si="15">SUM(P10:P11)</f>
        <v>0</v>
      </c>
      <c r="Q12" s="40">
        <f t="shared" si="15"/>
        <v>0</v>
      </c>
      <c r="R12" s="40">
        <f t="shared" si="15"/>
        <v>0</v>
      </c>
      <c r="S12" s="41" t="s">
        <v>30</v>
      </c>
      <c r="T12" s="42" t="s">
        <v>30</v>
      </c>
      <c r="U12" s="40">
        <f t="shared" si="15"/>
        <v>1.6000000000000001</v>
      </c>
      <c r="V12" s="40">
        <f t="shared" si="15"/>
        <v>1.3899999999999999</v>
      </c>
      <c r="W12" s="40">
        <f t="shared" si="15"/>
        <v>0.0073000000000000001</v>
      </c>
      <c r="X12" s="40">
        <f t="shared" si="15"/>
        <v>1.53</v>
      </c>
      <c r="Y12" s="40">
        <f t="shared" si="15"/>
        <v>1.3300000000000001</v>
      </c>
      <c r="Z12" s="40">
        <f t="shared" si="15"/>
        <v>0.0073000000000000001</v>
      </c>
      <c r="AA12" s="40">
        <v>0.040000000000000001</v>
      </c>
      <c r="AB12" s="43">
        <f t="shared" si="11"/>
        <v>-1.1000000000000001</v>
      </c>
      <c r="AC12" s="43">
        <f t="shared" si="3"/>
        <v>-0.94999999999999996</v>
      </c>
      <c r="AD12" s="43">
        <f t="shared" si="4"/>
        <v>0</v>
      </c>
      <c r="AE12" s="43">
        <f t="shared" si="5"/>
        <v>1.3800000000000001</v>
      </c>
      <c r="AF12" s="43">
        <f t="shared" si="6"/>
        <v>1.2</v>
      </c>
      <c r="AG12" s="43">
        <f t="shared" si="7"/>
        <v>0.0073000000000000001</v>
      </c>
      <c r="AH12" s="43">
        <f t="shared" si="8"/>
        <v>1.3200000000000001</v>
      </c>
      <c r="AI12" s="43">
        <f t="shared" si="9"/>
        <v>1.1400000000000001</v>
      </c>
      <c r="AJ12" s="43">
        <f t="shared" si="10"/>
        <v>0.0073000000000000001</v>
      </c>
      <c r="AK12" s="44"/>
      <c r="AL12" s="45"/>
      <c r="AM12" s="46"/>
    </row>
    <row r="13" s="4" customFormat="1" ht="14.45" customHeight="1">
      <c r="A13" s="51" t="s">
        <v>33</v>
      </c>
      <c r="B13" s="51" t="s">
        <v>34</v>
      </c>
      <c r="C13" s="51" t="s">
        <v>35</v>
      </c>
      <c r="D13" s="39" t="s">
        <v>25</v>
      </c>
      <c r="E13" s="40"/>
      <c r="F13" s="43">
        <v>1.1000000000000001</v>
      </c>
      <c r="G13" s="43">
        <v>0.94999999999999996</v>
      </c>
      <c r="H13" s="43">
        <v>0</v>
      </c>
      <c r="I13" s="43">
        <v>0.22</v>
      </c>
      <c r="J13" s="43">
        <v>0.19</v>
      </c>
      <c r="K13" s="43">
        <v>0</v>
      </c>
      <c r="L13" s="43">
        <v>0.20999999999999999</v>
      </c>
      <c r="M13" s="43">
        <v>0.19</v>
      </c>
      <c r="N13" s="43">
        <v>0</v>
      </c>
      <c r="O13" s="43"/>
      <c r="P13" s="43"/>
      <c r="Q13" s="43"/>
      <c r="R13" s="40"/>
      <c r="S13" s="41" t="s">
        <v>26</v>
      </c>
      <c r="T13" s="42" t="s">
        <v>26</v>
      </c>
      <c r="U13" s="43">
        <v>1.6000000000000001</v>
      </c>
      <c r="V13" s="43">
        <v>1.3899999999999999</v>
      </c>
      <c r="W13" s="43">
        <v>0.0073000000000000001</v>
      </c>
      <c r="X13" s="40">
        <v>1.53</v>
      </c>
      <c r="Y13" s="43">
        <v>1.3300000000000001</v>
      </c>
      <c r="Z13" s="43">
        <v>0.0073000000000000001</v>
      </c>
      <c r="AA13" s="43"/>
      <c r="AB13" s="43">
        <f t="shared" si="11"/>
        <v>-1.1000000000000001</v>
      </c>
      <c r="AC13" s="43">
        <f t="shared" si="3"/>
        <v>-0.94999999999999996</v>
      </c>
      <c r="AD13" s="43">
        <f t="shared" si="4"/>
        <v>0</v>
      </c>
      <c r="AE13" s="43">
        <f t="shared" si="5"/>
        <v>1.3800000000000001</v>
      </c>
      <c r="AF13" s="43">
        <f t="shared" si="6"/>
        <v>1.2</v>
      </c>
      <c r="AG13" s="43">
        <f t="shared" si="7"/>
        <v>0.0073000000000000001</v>
      </c>
      <c r="AH13" s="43">
        <f t="shared" si="8"/>
        <v>1.3200000000000001</v>
      </c>
      <c r="AI13" s="43">
        <f t="shared" si="9"/>
        <v>1.1400000000000001</v>
      </c>
      <c r="AJ13" s="43">
        <f t="shared" si="10"/>
        <v>0.0073000000000000001</v>
      </c>
      <c r="AK13" s="54">
        <v>100</v>
      </c>
      <c r="AL13" s="45"/>
      <c r="AM13" s="46"/>
    </row>
    <row r="14" s="4" customFormat="1" ht="14.45" customHeight="1">
      <c r="A14" s="52"/>
      <c r="B14" s="52"/>
      <c r="C14" s="55"/>
      <c r="D14" s="39" t="s">
        <v>27</v>
      </c>
      <c r="E14" s="40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0"/>
      <c r="S14" s="41" t="s">
        <v>28</v>
      </c>
      <c r="T14" s="42" t="s">
        <v>28</v>
      </c>
      <c r="U14" s="43"/>
      <c r="V14" s="43"/>
      <c r="W14" s="43"/>
      <c r="X14" s="40"/>
      <c r="Y14" s="43"/>
      <c r="Z14" s="43"/>
      <c r="AA14" s="43"/>
      <c r="AB14" s="43">
        <f t="shared" si="11"/>
        <v>0</v>
      </c>
      <c r="AC14" s="43">
        <f t="shared" si="3"/>
        <v>0</v>
      </c>
      <c r="AD14" s="43">
        <f t="shared" si="4"/>
        <v>0</v>
      </c>
      <c r="AE14" s="43">
        <f t="shared" si="5"/>
        <v>0</v>
      </c>
      <c r="AF14" s="43">
        <f t="shared" si="6"/>
        <v>0</v>
      </c>
      <c r="AG14" s="43">
        <f t="shared" si="7"/>
        <v>0</v>
      </c>
      <c r="AH14" s="43">
        <f t="shared" si="8"/>
        <v>0</v>
      </c>
      <c r="AI14" s="43">
        <f t="shared" si="9"/>
        <v>0</v>
      </c>
      <c r="AJ14" s="43">
        <f t="shared" si="10"/>
        <v>0</v>
      </c>
      <c r="AK14" s="54">
        <v>100</v>
      </c>
      <c r="AL14" s="45"/>
      <c r="AM14" s="46"/>
    </row>
    <row r="15" s="4" customFormat="1" ht="14.45" customHeight="1">
      <c r="A15" s="52"/>
      <c r="B15" s="53"/>
      <c r="C15" s="56"/>
      <c r="D15" s="49" t="s">
        <v>29</v>
      </c>
      <c r="E15" s="40"/>
      <c r="F15" s="40">
        <f t="shared" ref="F15:N15" si="16">SUM(F13:F14)</f>
        <v>1.1000000000000001</v>
      </c>
      <c r="G15" s="40">
        <f t="shared" si="16"/>
        <v>0.94999999999999996</v>
      </c>
      <c r="H15" s="40">
        <f t="shared" si="16"/>
        <v>0</v>
      </c>
      <c r="I15" s="40">
        <f t="shared" si="16"/>
        <v>0.22</v>
      </c>
      <c r="J15" s="40">
        <f t="shared" si="16"/>
        <v>0.19</v>
      </c>
      <c r="K15" s="40">
        <f t="shared" si="16"/>
        <v>0</v>
      </c>
      <c r="L15" s="40">
        <f t="shared" si="16"/>
        <v>0.20999999999999999</v>
      </c>
      <c r="M15" s="40">
        <f t="shared" si="16"/>
        <v>0.19</v>
      </c>
      <c r="N15" s="40">
        <f t="shared" si="16"/>
        <v>0</v>
      </c>
      <c r="O15" s="40"/>
      <c r="P15" s="40">
        <f t="shared" ref="P15:Z15" si="17">SUM(P13:P14)</f>
        <v>0</v>
      </c>
      <c r="Q15" s="40">
        <f t="shared" si="17"/>
        <v>0</v>
      </c>
      <c r="R15" s="40">
        <f t="shared" si="17"/>
        <v>0</v>
      </c>
      <c r="S15" s="41" t="s">
        <v>30</v>
      </c>
      <c r="T15" s="42" t="s">
        <v>30</v>
      </c>
      <c r="U15" s="40">
        <f t="shared" si="17"/>
        <v>1.6000000000000001</v>
      </c>
      <c r="V15" s="40">
        <f t="shared" si="17"/>
        <v>1.3899999999999999</v>
      </c>
      <c r="W15" s="40">
        <f t="shared" si="17"/>
        <v>0.0073000000000000001</v>
      </c>
      <c r="X15" s="40">
        <f t="shared" si="17"/>
        <v>1.53</v>
      </c>
      <c r="Y15" s="40">
        <f t="shared" si="17"/>
        <v>1.3300000000000001</v>
      </c>
      <c r="Z15" s="40">
        <f t="shared" si="17"/>
        <v>0.0073000000000000001</v>
      </c>
      <c r="AA15" s="40"/>
      <c r="AB15" s="43">
        <f t="shared" si="11"/>
        <v>-1.1000000000000001</v>
      </c>
      <c r="AC15" s="43">
        <f t="shared" si="3"/>
        <v>-0.94999999999999996</v>
      </c>
      <c r="AD15" s="43">
        <f t="shared" si="4"/>
        <v>0</v>
      </c>
      <c r="AE15" s="43">
        <f t="shared" si="5"/>
        <v>1.3800000000000001</v>
      </c>
      <c r="AF15" s="43">
        <f t="shared" si="6"/>
        <v>1.2</v>
      </c>
      <c r="AG15" s="43">
        <f t="shared" si="7"/>
        <v>0.0073000000000000001</v>
      </c>
      <c r="AH15" s="43">
        <f t="shared" si="8"/>
        <v>1.3200000000000001</v>
      </c>
      <c r="AI15" s="43">
        <f t="shared" si="9"/>
        <v>1.1400000000000001</v>
      </c>
      <c r="AJ15" s="43">
        <f t="shared" si="10"/>
        <v>0.0073000000000000001</v>
      </c>
      <c r="AK15" s="54">
        <v>100</v>
      </c>
      <c r="AL15" s="45"/>
      <c r="AM15" s="46"/>
    </row>
    <row r="16" s="5" customFormat="1" ht="14.45" customHeight="1">
      <c r="A16" s="38" t="s">
        <v>36</v>
      </c>
      <c r="B16" s="50" t="s">
        <v>32</v>
      </c>
      <c r="C16" s="51"/>
      <c r="D16" s="39" t="s">
        <v>25</v>
      </c>
      <c r="E16" s="40"/>
      <c r="F16" s="43">
        <f>SUMPRODUCT(($D$19:$D$24="已开发")*F19:F24*($AK$19:$AK$24&lt;&gt;""))</f>
        <v>2.0899999999999999</v>
      </c>
      <c r="G16" s="43">
        <f>SUMPRODUCT(($D$19:$D$24="已开发")*G19:G24*($AK$19:$AK$24&lt;&gt;""))</f>
        <v>1.72</v>
      </c>
      <c r="H16" s="43">
        <f>SUMPRODUCT(($D$19:$D$24="已开发")*H19:H24*($AK$19:$AK$24&lt;&gt;""))</f>
        <v>0</v>
      </c>
      <c r="I16" s="43">
        <f>SUMPRODUCT(($D$19:$D$24="已开发")*I19:I24*($AK$19:$AK$24&lt;&gt;""))</f>
        <v>0.059999999999999998</v>
      </c>
      <c r="J16" s="43">
        <f>SUMPRODUCT(($D$19:$D$24="已开发")*J19:J24*($AK$19:$AK$24&lt;&gt;""))</f>
        <v>0.050000000000000003</v>
      </c>
      <c r="K16" s="43">
        <f>SUMPRODUCT(($D$19:$D$24="已开发")*K19:K24*($AK$19:$AK$24&lt;&gt;""))</f>
        <v>0</v>
      </c>
      <c r="L16" s="43">
        <f>SUMPRODUCT(($D$19:$D$24="已开发")*L19:L24*($AK$19:$AK$24&lt;&gt;""))</f>
        <v>0.059999999999999998</v>
      </c>
      <c r="M16" s="43">
        <f>SUMPRODUCT(($D$19:$D$24="已开发")*M19:M24*($AK$19:$AK$24&lt;&gt;""))</f>
        <v>0.050000000000000003</v>
      </c>
      <c r="N16" s="43">
        <f>SUMPRODUCT(($D$19:$D$24="已开发")*N19:N24*($AK$19:$AK$24&lt;&gt;""))</f>
        <v>0</v>
      </c>
      <c r="O16" s="43"/>
      <c r="P16" s="43">
        <f>SUMPRODUCT(($D$19:$D$24="已开发")*P19:P24*($AK$19:$AK$24&lt;&gt;""))</f>
        <v>2.9500000000000002</v>
      </c>
      <c r="Q16" s="43">
        <f>SUMPRODUCT(($D$19:$D$24="已开发")*Q19:Q24*($AK$19:$AK$24&lt;&gt;""))</f>
        <v>2.5</v>
      </c>
      <c r="R16" s="43">
        <f>SUMPRODUCT(($D$19:$D$24="已开发")*R19:R24*($AK$19:$AK$24&lt;&gt;""))</f>
        <v>0</v>
      </c>
      <c r="S16" s="41" t="s">
        <v>26</v>
      </c>
      <c r="T16" s="42" t="s">
        <v>26</v>
      </c>
      <c r="U16" s="43">
        <f>SUMPRODUCT(($D$19:$D$24="已开发")*U19:U24*($AK$19:$AK$24&lt;&gt;""))</f>
        <v>0.42999999999999999</v>
      </c>
      <c r="V16" s="43">
        <f>SUMPRODUCT(($D$19:$D$24="已开发")*V19:V24*($AK$19:$AK$24&lt;&gt;""))</f>
        <v>0.35999999999999999</v>
      </c>
      <c r="W16" s="43">
        <f>SUMPRODUCT(($D$19:$D$24="已开发")*W19:W24*($AK$19:$AK$24&lt;&gt;""))</f>
        <v>0</v>
      </c>
      <c r="X16" s="43">
        <f>SUMPRODUCT(($D$19:$D$24="已开发")*X19:X24*($AK$19:$AK$24&lt;&gt;""))</f>
        <v>0.41999999999999998</v>
      </c>
      <c r="Y16" s="43">
        <f>SUMPRODUCT(($D$19:$D$24="已开发")*Y19:Y24*($AK$19:$AK$24&lt;&gt;""))</f>
        <v>0.34999999999999998</v>
      </c>
      <c r="Z16" s="43">
        <f>SUMPRODUCT(($D$19:$D$24="已开发")*Z19:Z24*($AK$19:$AK$24&lt;&gt;""))</f>
        <v>0</v>
      </c>
      <c r="AA16" s="43">
        <v>0.079000000000000001</v>
      </c>
      <c r="AB16" s="43">
        <f t="shared" ref="AB16:AB18" si="18">P16-F16</f>
        <v>0.86000000000000032</v>
      </c>
      <c r="AC16" s="43">
        <f t="shared" ref="AC16:AC18" si="19">Q16-G16</f>
        <v>0.78000000000000003</v>
      </c>
      <c r="AD16" s="43">
        <f t="shared" ref="AD16:AD18" si="20">R16-H16</f>
        <v>0</v>
      </c>
      <c r="AE16" s="43">
        <f t="shared" ref="AE16:AE18" si="21">U16-I16</f>
        <v>0.37</v>
      </c>
      <c r="AF16" s="43">
        <f t="shared" ref="AF16:AF18" si="22">V16-J16</f>
        <v>0.31</v>
      </c>
      <c r="AG16" s="43">
        <f t="shared" ref="AG16:AG18" si="23">W16-K16</f>
        <v>0</v>
      </c>
      <c r="AH16" s="43">
        <f t="shared" ref="AH16:AH18" si="24">X16-L16</f>
        <v>0.35999999999999999</v>
      </c>
      <c r="AI16" s="43">
        <f t="shared" ref="AI16:AI18" si="25">Y16-M16</f>
        <v>0.29999999999999999</v>
      </c>
      <c r="AJ16" s="43">
        <f t="shared" ref="AJ16:AJ18" si="26">Z16-N16</f>
        <v>0</v>
      </c>
      <c r="AK16" s="44"/>
      <c r="AL16" s="57"/>
    </row>
    <row r="17" s="5" customFormat="1" ht="14.45" customHeight="1">
      <c r="A17" s="38"/>
      <c r="B17" s="50"/>
      <c r="C17" s="52"/>
      <c r="D17" s="39" t="s">
        <v>27</v>
      </c>
      <c r="E17" s="40"/>
      <c r="F17" s="43">
        <f>SUMPRODUCT(($D$19:$D$24="未开发")*F19:F24*($AK$19:$AK$24&lt;&gt;""))</f>
        <v>0</v>
      </c>
      <c r="G17" s="43">
        <f>SUMPRODUCT(($D$19:$D$24="未开发")*G19:G24*($AK$19:$AK$24&lt;&gt;""))</f>
        <v>0</v>
      </c>
      <c r="H17" s="43">
        <f>SUMPRODUCT(($D$19:$D$24="未开发")*H19:H24*($AK$19:$AK$24&lt;&gt;""))</f>
        <v>0</v>
      </c>
      <c r="I17" s="43">
        <f>SUMPRODUCT(($D$19:$D$24="未开发")*I19:I24*($AK$19:$AK$24&lt;&gt;""))</f>
        <v>0</v>
      </c>
      <c r="J17" s="43">
        <f>SUMPRODUCT(($D$19:$D$24="未开发")*J19:J24*($AK$19:$AK$24&lt;&gt;""))</f>
        <v>0</v>
      </c>
      <c r="K17" s="43">
        <f>SUMPRODUCT(($D$19:$D$24="未开发")*K19:K24*($AK$19:$AK$24&lt;&gt;""))</f>
        <v>0</v>
      </c>
      <c r="L17" s="43">
        <f>SUMPRODUCT(($D$19:$D$24="未开发")*L19:L24*($AK$19:$AK$24&lt;&gt;""))</f>
        <v>0</v>
      </c>
      <c r="M17" s="43">
        <f>SUMPRODUCT(($D$19:$D$24="未开发")*M19:M24*($AK$19:$AK$24&lt;&gt;""))</f>
        <v>0</v>
      </c>
      <c r="N17" s="43">
        <f>SUMPRODUCT(($D$19:$D$24="未开发")*N19:N24*($AK$19:$AK$24&lt;&gt;""))</f>
        <v>0</v>
      </c>
      <c r="O17" s="43"/>
      <c r="P17" s="43">
        <f>SUMPRODUCT(($D$19:$D$24="未开发")*P19:P24*($AK$19:$AK$24&lt;&gt;""))</f>
        <v>0</v>
      </c>
      <c r="Q17" s="43">
        <f>SUMPRODUCT(($D$19:$D$24="未开发")*Q19:Q24*($AK$19:$AK$24&lt;&gt;""))</f>
        <v>0</v>
      </c>
      <c r="R17" s="43">
        <f>SUMPRODUCT(($D$19:$D$24="未开发")*R19:R24*($AK$19:$AK$24&lt;&gt;""))</f>
        <v>0</v>
      </c>
      <c r="S17" s="41" t="s">
        <v>28</v>
      </c>
      <c r="T17" s="42" t="s">
        <v>28</v>
      </c>
      <c r="U17" s="43">
        <f>SUMPRODUCT(($D$19:$D$24="未开发")*U19:U24*($AK$19:$AK$24&lt;&gt;""))</f>
        <v>0</v>
      </c>
      <c r="V17" s="43">
        <f>SUMPRODUCT(($D$19:$D$24="未开发")*V19:V24*($AK$19:$AK$24&lt;&gt;""))</f>
        <v>0</v>
      </c>
      <c r="W17" s="43">
        <f>SUMPRODUCT(($D$19:$D$24="未开发")*W19:W24*($AK$19:$AK$24&lt;&gt;""))</f>
        <v>0</v>
      </c>
      <c r="X17" s="43">
        <f>SUMPRODUCT(($D$19:$D$24="未开发")*X19:X24*($AK$19:$AK$24&lt;&gt;""))</f>
        <v>0</v>
      </c>
      <c r="Y17" s="43">
        <f>SUMPRODUCT(($D$19:$D$24="未开发")*Y19:Y24*($AK$19:$AK$24&lt;&gt;""))</f>
        <v>0</v>
      </c>
      <c r="Z17" s="43">
        <f>SUMPRODUCT(($D$19:$D$24="未开发")*Z19:Z24*($AK$19:$AK$24&lt;&gt;""))</f>
        <v>0</v>
      </c>
      <c r="AA17" s="43">
        <v>0</v>
      </c>
      <c r="AB17" s="43">
        <f t="shared" si="18"/>
        <v>0</v>
      </c>
      <c r="AC17" s="43">
        <f t="shared" si="19"/>
        <v>0</v>
      </c>
      <c r="AD17" s="43">
        <f t="shared" si="20"/>
        <v>0</v>
      </c>
      <c r="AE17" s="43">
        <f t="shared" si="21"/>
        <v>0</v>
      </c>
      <c r="AF17" s="43">
        <f t="shared" si="22"/>
        <v>0</v>
      </c>
      <c r="AG17" s="43">
        <f t="shared" si="23"/>
        <v>0</v>
      </c>
      <c r="AH17" s="43">
        <f t="shared" si="24"/>
        <v>0</v>
      </c>
      <c r="AI17" s="43">
        <f t="shared" si="25"/>
        <v>0</v>
      </c>
      <c r="AJ17" s="43">
        <f t="shared" si="26"/>
        <v>0</v>
      </c>
      <c r="AK17" s="44"/>
      <c r="AL17" s="57"/>
    </row>
    <row r="18" s="5" customFormat="1" ht="14.45" customHeight="1">
      <c r="A18" s="38"/>
      <c r="B18" s="50"/>
      <c r="C18" s="53"/>
      <c r="D18" s="49" t="s">
        <v>29</v>
      </c>
      <c r="E18" s="40">
        <v>0.22</v>
      </c>
      <c r="F18" s="40">
        <f t="shared" ref="F18:N18" si="27">SUM(F16:F17)</f>
        <v>2.0899999999999999</v>
      </c>
      <c r="G18" s="40">
        <f t="shared" si="27"/>
        <v>1.72</v>
      </c>
      <c r="H18" s="40">
        <f t="shared" si="27"/>
        <v>0</v>
      </c>
      <c r="I18" s="40">
        <f t="shared" si="27"/>
        <v>0.059999999999999998</v>
      </c>
      <c r="J18" s="40">
        <f t="shared" si="27"/>
        <v>0.050000000000000003</v>
      </c>
      <c r="K18" s="40">
        <f t="shared" si="27"/>
        <v>0</v>
      </c>
      <c r="L18" s="40">
        <f t="shared" si="27"/>
        <v>0.059999999999999998</v>
      </c>
      <c r="M18" s="40">
        <f t="shared" si="27"/>
        <v>0.050000000000000003</v>
      </c>
      <c r="N18" s="40">
        <f t="shared" si="27"/>
        <v>0</v>
      </c>
      <c r="O18" s="40">
        <v>0.29899999999999999</v>
      </c>
      <c r="P18" s="40">
        <f t="shared" ref="P18:Z18" si="28">SUM(P16:P17)</f>
        <v>2.9500000000000002</v>
      </c>
      <c r="Q18" s="40">
        <f t="shared" si="28"/>
        <v>2.5</v>
      </c>
      <c r="R18" s="40">
        <f t="shared" si="28"/>
        <v>0</v>
      </c>
      <c r="S18" s="41" t="s">
        <v>30</v>
      </c>
      <c r="T18" s="42" t="s">
        <v>30</v>
      </c>
      <c r="U18" s="40">
        <f t="shared" si="28"/>
        <v>0.42999999999999999</v>
      </c>
      <c r="V18" s="40">
        <f t="shared" si="28"/>
        <v>0.35999999999999999</v>
      </c>
      <c r="W18" s="40">
        <f t="shared" si="28"/>
        <v>0</v>
      </c>
      <c r="X18" s="40">
        <f t="shared" si="28"/>
        <v>0.41999999999999998</v>
      </c>
      <c r="Y18" s="40">
        <f t="shared" si="28"/>
        <v>0.34999999999999998</v>
      </c>
      <c r="Z18" s="40">
        <f t="shared" si="28"/>
        <v>0</v>
      </c>
      <c r="AA18" s="40">
        <v>0.079000000000000001</v>
      </c>
      <c r="AB18" s="43">
        <f t="shared" si="18"/>
        <v>0.86000000000000032</v>
      </c>
      <c r="AC18" s="43">
        <f t="shared" si="19"/>
        <v>0.78000000000000003</v>
      </c>
      <c r="AD18" s="43">
        <f t="shared" si="20"/>
        <v>0</v>
      </c>
      <c r="AE18" s="43">
        <f t="shared" si="21"/>
        <v>0.37</v>
      </c>
      <c r="AF18" s="43">
        <f t="shared" si="22"/>
        <v>0.31</v>
      </c>
      <c r="AG18" s="43">
        <f t="shared" si="23"/>
        <v>0</v>
      </c>
      <c r="AH18" s="43">
        <f t="shared" si="24"/>
        <v>0.35999999999999999</v>
      </c>
      <c r="AI18" s="43">
        <f t="shared" si="25"/>
        <v>0.29999999999999999</v>
      </c>
      <c r="AJ18" s="43">
        <f t="shared" si="26"/>
        <v>0</v>
      </c>
      <c r="AK18" s="44"/>
      <c r="AL18" s="57"/>
    </row>
    <row r="19" s="5" customFormat="1" ht="14.45" customHeight="1">
      <c r="A19" s="51" t="s">
        <v>37</v>
      </c>
      <c r="B19" s="51" t="s">
        <v>38</v>
      </c>
      <c r="C19" s="51"/>
      <c r="D19" s="39" t="s">
        <v>25</v>
      </c>
      <c r="E19" s="40"/>
      <c r="F19" s="43"/>
      <c r="G19" s="43"/>
      <c r="H19" s="43"/>
      <c r="I19" s="43">
        <v>0.22</v>
      </c>
      <c r="J19" s="43">
        <v>0.22</v>
      </c>
      <c r="K19" s="43">
        <v>0</v>
      </c>
      <c r="L19" s="43">
        <v>0.22</v>
      </c>
      <c r="M19" s="43">
        <v>0.22</v>
      </c>
      <c r="N19" s="43">
        <v>0</v>
      </c>
      <c r="O19" s="43"/>
      <c r="P19" s="43">
        <v>3.7000000000000002</v>
      </c>
      <c r="Q19" s="43">
        <v>3.0899999999999999</v>
      </c>
      <c r="R19" s="40">
        <v>0</v>
      </c>
      <c r="S19" s="41" t="s">
        <v>26</v>
      </c>
      <c r="T19" s="42" t="s">
        <v>26</v>
      </c>
      <c r="U19" s="43">
        <v>0.96999999999999997</v>
      </c>
      <c r="V19" s="43">
        <v>0.81000000000000005</v>
      </c>
      <c r="W19" s="43">
        <v>0</v>
      </c>
      <c r="X19" s="40">
        <v>0.96999999999999997</v>
      </c>
      <c r="Y19" s="43">
        <v>0.81000000000000005</v>
      </c>
      <c r="Z19" s="43">
        <v>0</v>
      </c>
      <c r="AA19" s="43"/>
      <c r="AB19" s="43">
        <f t="shared" ref="AB19:AB21" si="29">P19-F19</f>
        <v>3.7000000000000002</v>
      </c>
      <c r="AC19" s="43">
        <f t="shared" ref="AC19:AC21" si="30">Q19-G19</f>
        <v>3.0899999999999999</v>
      </c>
      <c r="AD19" s="43">
        <f t="shared" ref="AD19:AD21" si="31">R19-H19</f>
        <v>0</v>
      </c>
      <c r="AE19" s="43">
        <f t="shared" ref="AE19:AE21" si="32">U19-I19</f>
        <v>0.75</v>
      </c>
      <c r="AF19" s="43">
        <f t="shared" ref="AF19:AF21" si="33">V19-J19</f>
        <v>0.59000000000000008</v>
      </c>
      <c r="AG19" s="43">
        <f t="shared" ref="AG19:AG21" si="34">W19-K19</f>
        <v>0</v>
      </c>
      <c r="AH19" s="43">
        <f t="shared" ref="AH19:AH21" si="35">X19-L19</f>
        <v>0.75</v>
      </c>
      <c r="AI19" s="43">
        <f t="shared" ref="AI19:AI21" si="36">Y19-M19</f>
        <v>0.59000000000000008</v>
      </c>
      <c r="AJ19" s="43">
        <f t="shared" ref="AJ19:AJ21" si="37">Z19-N19</f>
        <v>0</v>
      </c>
      <c r="AK19" s="54"/>
      <c r="AL19" s="57"/>
    </row>
    <row r="20" s="5" customFormat="1" ht="14.45" customHeight="1">
      <c r="A20" s="52"/>
      <c r="B20" s="52"/>
      <c r="C20" s="55"/>
      <c r="D20" s="39" t="s">
        <v>27</v>
      </c>
      <c r="E20" s="40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0"/>
      <c r="S20" s="41" t="s">
        <v>28</v>
      </c>
      <c r="T20" s="42" t="s">
        <v>28</v>
      </c>
      <c r="U20" s="43"/>
      <c r="V20" s="43"/>
      <c r="W20" s="43"/>
      <c r="X20" s="40"/>
      <c r="Y20" s="43"/>
      <c r="Z20" s="43"/>
      <c r="AA20" s="43"/>
      <c r="AB20" s="43">
        <f t="shared" si="29"/>
        <v>0</v>
      </c>
      <c r="AC20" s="43">
        <f t="shared" si="30"/>
        <v>0</v>
      </c>
      <c r="AD20" s="43">
        <f t="shared" si="31"/>
        <v>0</v>
      </c>
      <c r="AE20" s="43">
        <f t="shared" si="32"/>
        <v>0</v>
      </c>
      <c r="AF20" s="43">
        <f t="shared" si="33"/>
        <v>0</v>
      </c>
      <c r="AG20" s="43">
        <f t="shared" si="34"/>
        <v>0</v>
      </c>
      <c r="AH20" s="43">
        <f t="shared" si="35"/>
        <v>0</v>
      </c>
      <c r="AI20" s="43">
        <f t="shared" si="36"/>
        <v>0</v>
      </c>
      <c r="AJ20" s="43">
        <f t="shared" si="37"/>
        <v>0</v>
      </c>
      <c r="AK20" s="54"/>
      <c r="AL20" s="57"/>
    </row>
    <row r="21" s="5" customFormat="1" ht="14.45" customHeight="1">
      <c r="A21" s="52"/>
      <c r="B21" s="53"/>
      <c r="C21" s="56"/>
      <c r="D21" s="49" t="s">
        <v>29</v>
      </c>
      <c r="E21" s="40"/>
      <c r="F21" s="40">
        <f t="shared" ref="F21:N21" si="38">SUM(F19:F20)</f>
        <v>0</v>
      </c>
      <c r="G21" s="40">
        <f t="shared" si="38"/>
        <v>0</v>
      </c>
      <c r="H21" s="40">
        <f t="shared" si="38"/>
        <v>0</v>
      </c>
      <c r="I21" s="40">
        <f t="shared" si="38"/>
        <v>0.22</v>
      </c>
      <c r="J21" s="40">
        <f t="shared" si="38"/>
        <v>0.22</v>
      </c>
      <c r="K21" s="40">
        <f t="shared" si="38"/>
        <v>0</v>
      </c>
      <c r="L21" s="40">
        <f t="shared" si="38"/>
        <v>0.22</v>
      </c>
      <c r="M21" s="40">
        <f t="shared" si="38"/>
        <v>0.22</v>
      </c>
      <c r="N21" s="40">
        <f t="shared" si="38"/>
        <v>0</v>
      </c>
      <c r="O21" s="40"/>
      <c r="P21" s="40">
        <f t="shared" ref="P21:Z21" si="39">SUM(P19:P20)</f>
        <v>3.7000000000000002</v>
      </c>
      <c r="Q21" s="40">
        <f t="shared" si="39"/>
        <v>3.0899999999999999</v>
      </c>
      <c r="R21" s="40">
        <f t="shared" si="39"/>
        <v>0</v>
      </c>
      <c r="S21" s="41" t="s">
        <v>30</v>
      </c>
      <c r="T21" s="42" t="s">
        <v>30</v>
      </c>
      <c r="U21" s="40">
        <f t="shared" si="39"/>
        <v>0.96999999999999997</v>
      </c>
      <c r="V21" s="40">
        <f t="shared" si="39"/>
        <v>0.81000000000000005</v>
      </c>
      <c r="W21" s="40">
        <f t="shared" si="39"/>
        <v>0</v>
      </c>
      <c r="X21" s="40">
        <f t="shared" si="39"/>
        <v>0.96999999999999997</v>
      </c>
      <c r="Y21" s="40">
        <f t="shared" si="39"/>
        <v>0.81000000000000005</v>
      </c>
      <c r="Z21" s="40">
        <f t="shared" si="39"/>
        <v>0</v>
      </c>
      <c r="AA21" s="40"/>
      <c r="AB21" s="43">
        <f t="shared" si="29"/>
        <v>3.7000000000000002</v>
      </c>
      <c r="AC21" s="43">
        <f t="shared" si="30"/>
        <v>3.0899999999999999</v>
      </c>
      <c r="AD21" s="43">
        <f t="shared" si="31"/>
        <v>0</v>
      </c>
      <c r="AE21" s="43">
        <f t="shared" si="32"/>
        <v>0.75</v>
      </c>
      <c r="AF21" s="43">
        <f t="shared" si="33"/>
        <v>0.59000000000000008</v>
      </c>
      <c r="AG21" s="43">
        <f t="shared" si="34"/>
        <v>0</v>
      </c>
      <c r="AH21" s="43">
        <f t="shared" si="35"/>
        <v>0.75</v>
      </c>
      <c r="AI21" s="43">
        <f t="shared" si="36"/>
        <v>0.59000000000000008</v>
      </c>
      <c r="AJ21" s="43">
        <f t="shared" si="37"/>
        <v>0</v>
      </c>
      <c r="AK21" s="54"/>
      <c r="AL21" s="57"/>
    </row>
    <row r="22" ht="14.45" customHeight="1">
      <c r="A22" s="51" t="s">
        <v>39</v>
      </c>
      <c r="B22" s="51" t="s">
        <v>40</v>
      </c>
      <c r="C22" s="51" t="s">
        <v>41</v>
      </c>
      <c r="D22" s="39" t="s">
        <v>25</v>
      </c>
      <c r="E22" s="40"/>
      <c r="F22" s="43">
        <v>2.0899999999999999</v>
      </c>
      <c r="G22" s="43">
        <v>1.72</v>
      </c>
      <c r="H22" s="43">
        <v>0</v>
      </c>
      <c r="I22" s="43">
        <v>0.059999999999999998</v>
      </c>
      <c r="J22" s="43">
        <v>0.050000000000000003</v>
      </c>
      <c r="K22" s="43">
        <v>0</v>
      </c>
      <c r="L22" s="43">
        <v>0.059999999999999998</v>
      </c>
      <c r="M22" s="43">
        <v>0.050000000000000003</v>
      </c>
      <c r="N22" s="43">
        <v>0</v>
      </c>
      <c r="O22" s="43"/>
      <c r="P22" s="43">
        <v>2.9500000000000002</v>
      </c>
      <c r="Q22" s="43">
        <v>2.5</v>
      </c>
      <c r="R22" s="40">
        <v>0</v>
      </c>
      <c r="S22" s="41" t="s">
        <v>26</v>
      </c>
      <c r="T22" s="42" t="s">
        <v>26</v>
      </c>
      <c r="U22" s="43">
        <v>0.42999999999999999</v>
      </c>
      <c r="V22" s="43">
        <v>0.35999999999999999</v>
      </c>
      <c r="W22" s="43">
        <v>0</v>
      </c>
      <c r="X22" s="40">
        <v>0.41999999999999998</v>
      </c>
      <c r="Y22" s="43">
        <v>0.34999999999999998</v>
      </c>
      <c r="Z22" s="43">
        <v>0</v>
      </c>
      <c r="AA22" s="43"/>
      <c r="AB22" s="43">
        <f t="shared" ref="AB22:AB24" si="40">P22-F22</f>
        <v>0.86000000000000032</v>
      </c>
      <c r="AC22" s="43">
        <f t="shared" ref="AC22:AC24" si="41">Q22-G22</f>
        <v>0.78000000000000003</v>
      </c>
      <c r="AD22" s="43">
        <f t="shared" ref="AD22:AD24" si="42">R22-H22</f>
        <v>0</v>
      </c>
      <c r="AE22" s="43">
        <f t="shared" ref="AE22:AE24" si="43">U22-I22</f>
        <v>0.37</v>
      </c>
      <c r="AF22" s="43">
        <f t="shared" ref="AF22:AF24" si="44">V22-J22</f>
        <v>0.31</v>
      </c>
      <c r="AG22" s="43">
        <f t="shared" ref="AG22:AG24" si="45">W22-K22</f>
        <v>0</v>
      </c>
      <c r="AH22" s="43">
        <f t="shared" ref="AH22:AH24" si="46">X22-L22</f>
        <v>0.35999999999999999</v>
      </c>
      <c r="AI22" s="43">
        <f t="shared" ref="AI22:AI24" si="47">Y22-M22</f>
        <v>0.29999999999999999</v>
      </c>
      <c r="AJ22" s="43">
        <f t="shared" ref="AJ22:AJ24" si="48">Z22-N22</f>
        <v>0</v>
      </c>
      <c r="AK22" s="54">
        <v>100</v>
      </c>
    </row>
    <row r="23" ht="14.45" customHeight="1">
      <c r="A23" s="52"/>
      <c r="B23" s="52"/>
      <c r="C23" s="55"/>
      <c r="D23" s="39" t="s">
        <v>27</v>
      </c>
      <c r="E23" s="40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0"/>
      <c r="S23" s="41" t="s">
        <v>28</v>
      </c>
      <c r="T23" s="42" t="s">
        <v>28</v>
      </c>
      <c r="U23" s="43"/>
      <c r="V23" s="43"/>
      <c r="W23" s="43"/>
      <c r="X23" s="40"/>
      <c r="Y23" s="43"/>
      <c r="Z23" s="43"/>
      <c r="AA23" s="43"/>
      <c r="AB23" s="43">
        <f t="shared" si="40"/>
        <v>0</v>
      </c>
      <c r="AC23" s="43">
        <f t="shared" si="41"/>
        <v>0</v>
      </c>
      <c r="AD23" s="43">
        <f t="shared" si="42"/>
        <v>0</v>
      </c>
      <c r="AE23" s="43">
        <f t="shared" si="43"/>
        <v>0</v>
      </c>
      <c r="AF23" s="43">
        <f t="shared" si="44"/>
        <v>0</v>
      </c>
      <c r="AG23" s="43">
        <f t="shared" si="45"/>
        <v>0</v>
      </c>
      <c r="AH23" s="43">
        <f t="shared" si="46"/>
        <v>0</v>
      </c>
      <c r="AI23" s="43">
        <f t="shared" si="47"/>
        <v>0</v>
      </c>
      <c r="AJ23" s="43">
        <f t="shared" si="48"/>
        <v>0</v>
      </c>
      <c r="AK23" s="54">
        <v>100</v>
      </c>
    </row>
    <row r="24" ht="14.45" customHeight="1">
      <c r="A24" s="58"/>
      <c r="B24" s="53"/>
      <c r="C24" s="56"/>
      <c r="D24" s="49" t="s">
        <v>29</v>
      </c>
      <c r="E24" s="40"/>
      <c r="F24" s="40">
        <f t="shared" ref="F24:N24" si="49">SUM(F22:F23)</f>
        <v>2.0899999999999999</v>
      </c>
      <c r="G24" s="40">
        <f t="shared" si="49"/>
        <v>1.72</v>
      </c>
      <c r="H24" s="40">
        <f t="shared" si="49"/>
        <v>0</v>
      </c>
      <c r="I24" s="40">
        <f t="shared" si="49"/>
        <v>0.059999999999999998</v>
      </c>
      <c r="J24" s="40">
        <f t="shared" si="49"/>
        <v>0.050000000000000003</v>
      </c>
      <c r="K24" s="40">
        <f t="shared" si="49"/>
        <v>0</v>
      </c>
      <c r="L24" s="40">
        <f t="shared" si="49"/>
        <v>0.059999999999999998</v>
      </c>
      <c r="M24" s="40">
        <f t="shared" si="49"/>
        <v>0.050000000000000003</v>
      </c>
      <c r="N24" s="40">
        <f t="shared" si="49"/>
        <v>0</v>
      </c>
      <c r="O24" s="40"/>
      <c r="P24" s="40">
        <f t="shared" ref="P24:Z24" si="50">SUM(P22:P23)</f>
        <v>2.9500000000000002</v>
      </c>
      <c r="Q24" s="40">
        <f t="shared" si="50"/>
        <v>2.5</v>
      </c>
      <c r="R24" s="40">
        <f t="shared" si="50"/>
        <v>0</v>
      </c>
      <c r="S24" s="41" t="s">
        <v>30</v>
      </c>
      <c r="T24" s="42" t="s">
        <v>30</v>
      </c>
      <c r="U24" s="40">
        <f t="shared" si="50"/>
        <v>0.42999999999999999</v>
      </c>
      <c r="V24" s="40">
        <f t="shared" si="50"/>
        <v>0.35999999999999999</v>
      </c>
      <c r="W24" s="40">
        <f t="shared" si="50"/>
        <v>0</v>
      </c>
      <c r="X24" s="40">
        <f t="shared" si="50"/>
        <v>0.41999999999999998</v>
      </c>
      <c r="Y24" s="40">
        <f t="shared" si="50"/>
        <v>0.34999999999999998</v>
      </c>
      <c r="Z24" s="40">
        <f t="shared" si="50"/>
        <v>0</v>
      </c>
      <c r="AA24" s="40"/>
      <c r="AB24" s="43">
        <f t="shared" si="40"/>
        <v>0.86000000000000032</v>
      </c>
      <c r="AC24" s="43">
        <f t="shared" si="41"/>
        <v>0.78000000000000003</v>
      </c>
      <c r="AD24" s="43">
        <f t="shared" si="42"/>
        <v>0</v>
      </c>
      <c r="AE24" s="43">
        <f t="shared" si="43"/>
        <v>0.37</v>
      </c>
      <c r="AF24" s="43">
        <f t="shared" si="44"/>
        <v>0.31</v>
      </c>
      <c r="AG24" s="43">
        <f t="shared" si="45"/>
        <v>0</v>
      </c>
      <c r="AH24" s="43">
        <f t="shared" si="46"/>
        <v>0.35999999999999999</v>
      </c>
      <c r="AI24" s="43">
        <f t="shared" si="47"/>
        <v>0.29999999999999999</v>
      </c>
      <c r="AJ24" s="43">
        <f t="shared" si="48"/>
        <v>0</v>
      </c>
      <c r="AK24" s="54">
        <v>100</v>
      </c>
    </row>
  </sheetData>
  <mergeCells count="50">
    <mergeCell ref="U1:AJ1"/>
    <mergeCell ref="O3:R3"/>
    <mergeCell ref="U3:Z3"/>
    <mergeCell ref="A1:R1"/>
    <mergeCell ref="A2:B2"/>
    <mergeCell ref="A3:A6"/>
    <mergeCell ref="B3:B6"/>
    <mergeCell ref="C3:N3"/>
    <mergeCell ref="AA3:AJ3"/>
    <mergeCell ref="C4:C6"/>
    <mergeCell ref="D4:D6"/>
    <mergeCell ref="AE5:AF5"/>
    <mergeCell ref="AH5:AI5"/>
    <mergeCell ref="AB4:AD4"/>
    <mergeCell ref="AE4:AG4"/>
    <mergeCell ref="AH4:AJ4"/>
    <mergeCell ref="AB5:AC5"/>
    <mergeCell ref="E4:E5"/>
    <mergeCell ref="P5:Q5"/>
    <mergeCell ref="U5:V5"/>
    <mergeCell ref="X5:Y5"/>
    <mergeCell ref="P4:R4"/>
    <mergeCell ref="U4:W4"/>
    <mergeCell ref="X4:Z4"/>
    <mergeCell ref="AA4:AA5"/>
    <mergeCell ref="F4:H4"/>
    <mergeCell ref="I4:K4"/>
    <mergeCell ref="C7:C9"/>
    <mergeCell ref="C10:C12"/>
    <mergeCell ref="L4:N4"/>
    <mergeCell ref="O4:O5"/>
    <mergeCell ref="F5:G5"/>
    <mergeCell ref="I5:J5"/>
    <mergeCell ref="L5:M5"/>
    <mergeCell ref="A7:A9"/>
    <mergeCell ref="B7:B9"/>
    <mergeCell ref="A10:A12"/>
    <mergeCell ref="B10:B12"/>
    <mergeCell ref="B13:B15"/>
    <mergeCell ref="C13:C15"/>
    <mergeCell ref="C16:C18"/>
    <mergeCell ref="A16:A18"/>
    <mergeCell ref="B16:B18"/>
    <mergeCell ref="B19:B21"/>
    <mergeCell ref="C19:C21"/>
    <mergeCell ref="B22:B24"/>
    <mergeCell ref="C22:C24"/>
    <mergeCell ref="A13:A15"/>
    <mergeCell ref="A19:A21"/>
    <mergeCell ref="A22:A24"/>
  </mergeCells>
  <pageMargins left="0.5513889" right="0.5513889" top="0.7479166" bottom="0.7479166" header="0.3152778" footer="0.3152778"/>
  <pageSetup paperSize="9" pageOrder="overThenDown" orientation="portrait" scale="79"/>
  <headerFooter alignWithMargins="0"/>
  <colBreaks>
    <brk id="19" man="1"/>
  </colBreaks>
</worksheet>
</file>